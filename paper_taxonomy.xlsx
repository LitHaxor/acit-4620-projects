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Papers" sheetId="2" state="visible" r:id="rId2"/>
    <sheet name="Datasets" sheetId="3" state="visible" r:id="rId3"/>
  </sheets>
  <definedNames>
    <definedName name="_xlnm._FilterDatabase" localSheetId="1" hidden="1">'Papers'!$A$1:$T$17</definedName>
    <definedName name="_xlnm.Print_Titles" localSheetId="1">'Papers'!$1:$1</definedName>
    <definedName name="_xlnm._FilterDatabase" localSheetId="2" hidden="1">'Datasets'!$A$1:$J$15</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Arial"/>
      <b val="1"/>
      <color rgb="00FFFFFF"/>
      <sz val="10"/>
    </font>
    <font>
      <name val="Arial"/>
      <sz val="9"/>
    </font>
    <font>
      <name val="Arial"/>
      <b val="1"/>
      <color rgb="001F3864"/>
      <sz val="9"/>
    </font>
    <font>
      <name val="Arial"/>
      <color rgb="000563C1"/>
      <sz val="9"/>
      <u val="single"/>
    </font>
    <font>
      <name val="Arial"/>
      <i val="1"/>
      <color rgb="00595959"/>
      <sz val="9"/>
    </font>
    <font>
      <name val="Arial"/>
      <color rgb="009C0006"/>
      <sz val="9"/>
    </font>
    <font>
      <name val="Arial"/>
      <b val="1"/>
      <color rgb="00375623"/>
      <sz val="9"/>
    </font>
    <font>
      <name val="Arial"/>
      <i val="1"/>
      <color rgb="00595959"/>
      <sz val="8"/>
    </font>
    <font>
      <name val="Arial"/>
      <b val="1"/>
      <sz val="10"/>
    </font>
    <font>
      <name val="Arial"/>
      <b val="1"/>
      <color rgb="001F3864"/>
      <sz val="18"/>
    </font>
    <font>
      <name val="Arial"/>
      <i val="1"/>
      <color rgb="00595959"/>
      <sz val="10"/>
    </font>
    <font>
      <name val="Arial"/>
      <b val="1"/>
      <color rgb="00595959"/>
      <sz val="8"/>
    </font>
    <font>
      <name val="Arial"/>
      <b val="1"/>
      <color rgb="001F3864"/>
      <sz val="24"/>
    </font>
    <font>
      <name val="Arial"/>
      <b val="1"/>
      <color rgb="001F3864"/>
      <sz val="11"/>
    </font>
    <font>
      <name val="Arial"/>
      <b val="1"/>
      <color rgb="00FFFFFF"/>
      <sz val="9"/>
    </font>
    <font>
      <name val="Arial"/>
      <b val="1"/>
      <sz val="9"/>
    </font>
    <font>
      <name val="Arial"/>
      <b val="1"/>
      <color rgb="00006100"/>
      <sz val="9"/>
    </font>
    <font>
      <name val="Arial"/>
      <color rgb="00595959"/>
      <sz val="8"/>
    </font>
    <font>
      <name val="Arial"/>
      <b val="1"/>
      <color rgb="009C5700"/>
      <sz val="9"/>
    </font>
    <font>
      <name val="Arial"/>
      <b val="1"/>
      <color rgb="009C0006"/>
      <sz val="9"/>
    </font>
    <font>
      <name val="Arial"/>
      <b val="1"/>
      <color rgb="003A3838"/>
      <sz val="9"/>
    </font>
    <font>
      <name val="Arial"/>
      <b val="1"/>
      <color rgb="000563C1"/>
      <sz val="9"/>
      <u val="single"/>
    </font>
    <font>
      <name val="Arial"/>
      <color rgb="00262626"/>
      <sz val="9"/>
    </font>
  </fonts>
  <fills count="10">
    <fill>
      <patternFill/>
    </fill>
    <fill>
      <patternFill patternType="gray125"/>
    </fill>
    <fill>
      <patternFill patternType="solid">
        <fgColor rgb="001F3864"/>
      </patternFill>
    </fill>
    <fill>
      <patternFill patternType="solid">
        <fgColor rgb="00F5F7FB"/>
      </patternFill>
    </fill>
    <fill>
      <patternFill patternType="solid">
        <fgColor rgb="00375623"/>
      </patternFill>
    </fill>
    <fill>
      <patternFill patternType="solid">
        <fgColor rgb="00D9E1F2"/>
      </patternFill>
    </fill>
    <fill>
      <patternFill patternType="solid">
        <fgColor rgb="00C6EFCE"/>
      </patternFill>
    </fill>
    <fill>
      <patternFill patternType="solid">
        <fgColor rgb="00FFEB9C"/>
      </patternFill>
    </fill>
    <fill>
      <patternFill patternType="solid">
        <fgColor rgb="00FFC7CE"/>
      </patternFill>
    </fill>
    <fill>
      <patternFill patternType="solid">
        <fgColor rgb="00E7E6E6"/>
      </patternFill>
    </fill>
  </fills>
  <borders count="3">
    <border>
      <left/>
      <right/>
      <top/>
      <bottom/>
      <diagonal/>
    </border>
    <border>
      <left style="thin">
        <color rgb="00D9D9D9"/>
      </left>
      <right style="thin">
        <color rgb="00D9D9D9"/>
      </right>
      <top style="thin">
        <color rgb="00D9D9D9"/>
      </top>
      <bottom style="thin">
        <color rgb="00D9D9D9"/>
      </bottom>
    </border>
    <border>
      <bottom style="thin">
        <color rgb="00D9D9D9"/>
      </bottom>
    </border>
  </borders>
  <cellStyleXfs count="1">
    <xf numFmtId="0" fontId="0" fillId="0" borderId="0"/>
  </cellStyleXfs>
  <cellXfs count="49">
    <xf numFmtId="0" fontId="0" fillId="0" borderId="0" pivotButton="0" quotePrefix="0" xfId="0"/>
    <xf numFmtId="0" fontId="10" fillId="0" borderId="0" pivotButton="0" quotePrefix="0" xfId="0"/>
    <xf numFmtId="0" fontId="11" fillId="0" borderId="0" pivotButton="0" quotePrefix="0" xfId="0"/>
    <xf numFmtId="0" fontId="12" fillId="5" borderId="0" applyAlignment="1" pivotButton="0" quotePrefix="0" xfId="0">
      <alignment horizontal="left" vertical="bottom" indent="1"/>
    </xf>
    <xf numFmtId="0" fontId="0" fillId="5" borderId="0" pivotButton="0" quotePrefix="0" xfId="0"/>
    <xf numFmtId="0" fontId="13" fillId="5" borderId="0" applyAlignment="1" pivotButton="0" quotePrefix="0" xfId="0">
      <alignment horizontal="left" vertical="center" indent="1"/>
    </xf>
    <xf numFmtId="0" fontId="14" fillId="0" borderId="0" pivotButton="0" quotePrefix="0" xfId="0"/>
    <xf numFmtId="0" fontId="15" fillId="2" borderId="0" applyAlignment="1" pivotButton="0" quotePrefix="0" xfId="0">
      <alignment horizontal="left"/>
    </xf>
    <xf numFmtId="0" fontId="15" fillId="2" borderId="0" applyAlignment="1" pivotButton="0" quotePrefix="0" xfId="0">
      <alignment horizontal="center"/>
    </xf>
    <xf numFmtId="0" fontId="17" fillId="6" borderId="0" applyAlignment="1" pivotButton="0" quotePrefix="0" xfId="0">
      <alignment horizontal="center" vertical="center"/>
    </xf>
    <xf numFmtId="0" fontId="18" fillId="0" borderId="0" applyAlignment="1" pivotButton="0" quotePrefix="0" xfId="0">
      <alignment vertical="center" wrapText="1"/>
    </xf>
    <xf numFmtId="1" fontId="2" fillId="0" borderId="2" applyAlignment="1" pivotButton="0" quotePrefix="0" xfId="0">
      <alignment horizontal="left"/>
    </xf>
    <xf numFmtId="0" fontId="16" fillId="0" borderId="2" applyAlignment="1" pivotButton="0" quotePrefix="0" xfId="0">
      <alignment horizontal="center"/>
    </xf>
    <xf numFmtId="0" fontId="2" fillId="0" borderId="2" pivotButton="0" quotePrefix="0" xfId="0"/>
    <xf numFmtId="0" fontId="19" fillId="7" borderId="0" applyAlignment="1" pivotButton="0" quotePrefix="0" xfId="0">
      <alignment horizontal="center" vertical="center"/>
    </xf>
    <xf numFmtId="0" fontId="20" fillId="8" borderId="0" applyAlignment="1" pivotButton="0" quotePrefix="0" xfId="0">
      <alignment horizontal="center" vertical="center"/>
    </xf>
    <xf numFmtId="0" fontId="21" fillId="9" borderId="0" applyAlignment="1" pivotButton="0" quotePrefix="0" xfId="0">
      <alignment horizontal="center" vertical="center"/>
    </xf>
    <xf numFmtId="0" fontId="16" fillId="0" borderId="0" pivotButton="0" quotePrefix="0" xfId="0"/>
    <xf numFmtId="0" fontId="16" fillId="0" borderId="0" applyAlignment="1" pivotButton="0" quotePrefix="0" xfId="0">
      <alignment horizontal="center"/>
    </xf>
    <xf numFmtId="0" fontId="15" fillId="2" borderId="0" pivotButton="0" quotePrefix="0" xfId="0"/>
    <xf numFmtId="0" fontId="22" fillId="0" borderId="2" applyAlignment="1" pivotButton="0" quotePrefix="0" xfId="0">
      <alignment vertical="center" wrapText="1"/>
    </xf>
    <xf numFmtId="0" fontId="0" fillId="0" borderId="2" pivotButton="0" quotePrefix="0" xfId="0"/>
    <xf numFmtId="0" fontId="2" fillId="0" borderId="2" applyAlignment="1" pivotButton="0" quotePrefix="0" xfId="0">
      <alignment vertical="center" wrapText="1"/>
    </xf>
    <xf numFmtId="0" fontId="23" fillId="0" borderId="0" applyAlignment="1" pivotButton="0" quotePrefix="0" xfId="0">
      <alignment vertical="center"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horizontal="center" vertical="top" wrapText="1"/>
    </xf>
    <xf numFmtId="1" fontId="2" fillId="0" borderId="1" applyAlignment="1" pivotButton="0" quotePrefix="0" xfId="0">
      <alignment horizontal="center" vertical="top" wrapText="1"/>
    </xf>
    <xf numFmtId="0" fontId="6" fillId="0" borderId="1" applyAlignment="1" pivotButton="0" quotePrefix="0" xfId="0">
      <alignment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3" borderId="1" applyAlignment="1" pivotButton="0" quotePrefix="0" xfId="0">
      <alignment horizontal="center" vertical="top" wrapText="1"/>
    </xf>
    <xf numFmtId="1" fontId="2" fillId="3" borderId="1" applyAlignment="1" pivotButton="0" quotePrefix="0" xfId="0">
      <alignment horizontal="center" vertical="top" wrapText="1"/>
    </xf>
    <xf numFmtId="0" fontId="6" fillId="3" borderId="1" applyAlignment="1" pivotButton="0" quotePrefix="0" xfId="0">
      <alignment vertical="top" wrapText="1"/>
    </xf>
    <xf numFmtId="0" fontId="4" fillId="3" borderId="1" applyAlignment="1" pivotButton="0" quotePrefix="0" xfId="0">
      <alignment horizontal="center" vertical="top" wrapText="1"/>
    </xf>
    <xf numFmtId="0" fontId="1" fillId="4" borderId="1" applyAlignment="1" pivotButton="0" quotePrefix="0" xfId="0">
      <alignment horizontal="center"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horizontal="center"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9" fillId="3" borderId="1" applyAlignment="1" pivotButton="0" quotePrefix="0" xfId="0">
      <alignment horizontal="center" vertical="top" wrapText="1"/>
    </xf>
    <xf numFmtId="0" fontId="5" fillId="0" borderId="0" pivotButton="0" quotePrefix="0" xfId="0"/>
  </cellXfs>
  <cellStyles count="1">
    <cellStyle name="Normal" xfId="0" builtinId="0" hidden="0"/>
  </cellStyles>
  <dxfs count="4">
    <dxf>
      <font>
        <name val="Arial"/>
        <b val="1"/>
        <color rgb="00006100"/>
      </font>
      <fill>
        <patternFill patternType="solid">
          <fgColor rgb="00C6EFCE"/>
          <bgColor rgb="00C6EFCE"/>
        </patternFill>
      </fill>
    </dxf>
    <dxf>
      <font>
        <name val="Arial"/>
        <b val="1"/>
        <color rgb="009C5700"/>
      </font>
      <fill>
        <patternFill patternType="solid">
          <fgColor rgb="00FFEB9C"/>
          <bgColor rgb="00FFEB9C"/>
        </patternFill>
      </fill>
    </dxf>
    <dxf>
      <font>
        <name val="Arial"/>
        <b val="1"/>
        <color rgb="009C0006"/>
      </font>
      <fill>
        <patternFill patternType="solid">
          <fgColor rgb="00FFC7CE"/>
          <bgColor rgb="00FFC7CE"/>
        </patternFill>
      </fill>
    </dxf>
    <dxf>
      <font>
        <name val="Arial"/>
        <b val="1"/>
        <color rgb="003A3838"/>
      </font>
      <fill>
        <patternFill patternType="solid">
          <fgColor rgb="00E7E6E6"/>
          <b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ACIT 4620 taxonomy</author>
  </authors>
  <commentList>
    <comment ref="N1" authorId="0" shapeId="0">
      <text>
        <t>Our judgement after reading the full text. High = public/multi-site data, held-out or cross-site evaluation, consistent reporting. Medium = sound method but one major caveat. Low = several inconsistencies, likely leakage, or private/tiny data. Change it with the drop-down; Overview updates.</t>
      </text>
    </comment>
    <comment ref="S1" authorId="0" shapeId="0">
      <text>
        <t>Methodological problems found while reading the full text (leakage risk, inconsistent numbers, etc.).</t>
      </text>
    </comment>
  </commentList>
</comments>
</file>

<file path=xl/comments/comment2.xml><?xml version="1.0" encoding="utf-8"?>
<comments xmlns="http://schemas.openxmlformats.org/spreadsheetml/2006/main">
  <authors>
    <author>ACIT 4620 taxonomy</author>
  </authors>
  <commentList>
    <comment ref="I1" authorId="0" shapeId="0">
      <text>
        <t>Text searched for in Papers &gt; Datasets to count how many papers use each dataset.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09/ICCSC71566.2026.11650424" TargetMode="External" Id="rId1" /><Relationship Type="http://schemas.openxmlformats.org/officeDocument/2006/relationships/hyperlink" Target="papers/Deep_Multi_Task_Learning_for_AQI_Classification_and_PM2.5_Estimation_from_Images.pdf" TargetMode="External" Id="rId2" /><Relationship Type="http://schemas.openxmlformats.org/officeDocument/2006/relationships/hyperlink" Target="https://doi.org/10.1109/IMSA70415.2026.11700341" TargetMode="External" Id="rId3" /><Relationship Type="http://schemas.openxmlformats.org/officeDocument/2006/relationships/hyperlink" Target="papers/SkyFuseNet_A_Cross-Attention_Swin_Transformer-Based_Model_for_PM2.5_Estimation_Using_Ground-Level_Images_and_Air_Quality_Readings.pdf" TargetMode="External" Id="rId4" /><Relationship Type="http://schemas.openxmlformats.org/officeDocument/2006/relationships/hyperlink" Target="https://doi.org/10.1109/ACCESS.2024.3521966" TargetMode="External" Id="rId5" /><Relationship Type="http://schemas.openxmlformats.org/officeDocument/2006/relationships/hyperlink" Target="papers/A_Mobile_Image_Driven_PM2.5_Estimation_Framework_Using_Deep_Learning_Techniques.pdf" TargetMode="External" Id="rId6" /><Relationship Type="http://schemas.openxmlformats.org/officeDocument/2006/relationships/hyperlink" Target="https://doi.org/10.1109/RAIT65068.2025.11089033" TargetMode="External" Id="rId7" /><Relationship Type="http://schemas.openxmlformats.org/officeDocument/2006/relationships/hyperlink" Target="papers/Deep_Learning_Based_PM2.5_Concentration_Estimation_Using_Convolutional_Neural_Network_on_Environmental_Image_Data.pdf" TargetMode="External" Id="rId8" /><Relationship Type="http://schemas.openxmlformats.org/officeDocument/2006/relationships/hyperlink" Target="https://doi.org/10.1109/JSEN.2025.3585177" TargetMode="External" Id="rId9" /><Relationship Type="http://schemas.openxmlformats.org/officeDocument/2006/relationships/hyperlink" Target="papers/Enhancing_PM_sub_2.5_sub_Detection_via_Multispectral_Image_Based_Double_Channel_Ensemble_Learning_for_Drones.pdf" TargetMode="External" Id="rId10" /><Relationship Type="http://schemas.openxmlformats.org/officeDocument/2006/relationships/hyperlink" Target="https://doi.org/10.1109/ICCVW69036.2025.00288" TargetMode="External" Id="rId11" /><Relationship Type="http://schemas.openxmlformats.org/officeDocument/2006/relationships/hyperlink" Target="papers/Forecasting_and_Visualizing_Air_Quality_from_Sky_Images_with_Vision_Language_Models.pdf" TargetMode="External" Id="rId12" /><Relationship Type="http://schemas.openxmlformats.org/officeDocument/2006/relationships/hyperlink" Target="https://doi.org/10.1109/ICAAID68975.2025.11358145" TargetMode="External" Id="rId13" /><Relationship Type="http://schemas.openxmlformats.org/officeDocument/2006/relationships/hyperlink" Target="papers/Image_Based_Air_Quality_Level_Assessment_Using_MobileNet_And_ResNet152V2.pdf" TargetMode="External" Id="rId14" /><Relationship Type="http://schemas.openxmlformats.org/officeDocument/2006/relationships/hyperlink" Target="https://doi.org/10.1109/ICCCA66364.2025.11325373" TargetMode="External" Id="rId15" /><Relationship Type="http://schemas.openxmlformats.org/officeDocument/2006/relationships/hyperlink" Target="papers/Image_based_Air_Pollution_Estimation_using_Deep_Learning.pdf" TargetMode="External" Id="rId16" /><Relationship Type="http://schemas.openxmlformats.org/officeDocument/2006/relationships/hyperlink" Target="https://doi.org/10.1109/WACVW65960.2025.00131" TargetMode="External" Id="rId17" /><Relationship Type="http://schemas.openxmlformats.org/officeDocument/2006/relationships/hyperlink" Target="papers/Location_Generalizability_of_Image_Based_Air_Quality_Models.pdf" TargetMode="External" Id="rId18" /><Relationship Type="http://schemas.openxmlformats.org/officeDocument/2006/relationships/hyperlink" Target="https://doi.org/10.1109/ICCSAI64074.2025.11064176" TargetMode="External" Id="rId19" /><Relationship Type="http://schemas.openxmlformats.org/officeDocument/2006/relationships/hyperlink" Target="papers/Roadside_Tree_Image_Based_Air_Quality_Estimation_of_Gurugram_City_Haryana_India.pdf" TargetMode="External" Id="rId20" /><Relationship Type="http://schemas.openxmlformats.org/officeDocument/2006/relationships/hyperlink" Target="https://doi.org/10.1109/ACCESS.2025.3583794" TargetMode="External" Id="rId21" /><Relationship Type="http://schemas.openxmlformats.org/officeDocument/2006/relationships/hyperlink" Target="papers/SmartCamAirDetect_A_Contrastive_Approach_for_Probabilistic_Ambient_Air_Pollution_Estimation_With_Limited_Images_for_Smart_City_Development.pdf" TargetMode="External" Id="rId22" /><Relationship Type="http://schemas.openxmlformats.org/officeDocument/2006/relationships/hyperlink" Target="https://doi.org/10.1109/WINCOM62286.2024.10656531" TargetMode="External" Id="rId23" /><Relationship Type="http://schemas.openxmlformats.org/officeDocument/2006/relationships/hyperlink" Target="papers/A_Review_on_Image_Quality_Assessment_for_Air_Quality_Index_Estimation.pdf" TargetMode="External" Id="rId24" /><Relationship Type="http://schemas.openxmlformats.org/officeDocument/2006/relationships/hyperlink" Target="https://doi.org/10.1109/ICTech63197.2024.00064" TargetMode="External" Id="rId25" /><Relationship Type="http://schemas.openxmlformats.org/officeDocument/2006/relationships/hyperlink" Target="papers/Air_Quality_Level_Detection_Based_on_Image_Recognition.pdf" TargetMode="External" Id="rId26" /><Relationship Type="http://schemas.openxmlformats.org/officeDocument/2006/relationships/hyperlink" Target="https://doi.org/10.1109/IJCNN60899.2024.10651248" TargetMode="External" Id="rId27" /><Relationship Type="http://schemas.openxmlformats.org/officeDocument/2006/relationships/hyperlink" Target="papers/Can_an_Image_Tell_the_Tale_Looking_Beyond_the_Haze_to_Determine_PM2.5_Concentration.pdf" TargetMode="External" Id="rId28" /><Relationship Type="http://schemas.openxmlformats.org/officeDocument/2006/relationships/hyperlink" Target="https://doi.org/10.1109/ICOICI62503.2024.10696429" TargetMode="External" Id="rId29" /><Relationship Type="http://schemas.openxmlformats.org/officeDocument/2006/relationships/hyperlink" Target="papers/Evaluation_of_Deep_Learning_Approaches_for_Air_Quality_Analysis_using_an_Image_Dataset.pdf" TargetMode="External" Id="rId30" /><Relationship Type="http://schemas.openxmlformats.org/officeDocument/2006/relationships/hyperlink" Target="https://doi.org/10.1109/SCOReD64708.2024.10872648" TargetMode="External" Id="rId31" /><Relationship Type="http://schemas.openxmlformats.org/officeDocument/2006/relationships/hyperlink" Target="papers/Integrating_Deep_Learning_Features_Extraction_and_Image_Processing_for_Visual_Pattern_Analysis_in_Air_Quality_Index_AQI_Classification.pdf" TargetMode="External" Id="rId3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www.kaggle.com/datasets/adarshrouniyar/air-pollution-image-dataset-from-india-and-nepal" TargetMode="External" Id="rId1" /><Relationship Type="http://schemas.openxmlformats.org/officeDocument/2006/relationships/hyperlink" Target="https://data.pnnl.gov/group/nodes/dataset/33967" TargetMode="External" Id="rId2" /><Relationship Type="http://schemas.openxmlformats.org/officeDocument/2006/relationships/hyperlink" Target="https://vision-air.github.io/feature.html" TargetMode="External" Id="rId3" /><Relationship Type="http://schemas.openxmlformats.org/officeDocument/2006/relationships/hyperlink" Target="https://data.gov.hk/en-data/dataset/hk-td-tis_2-traffic-snapshot-images" TargetMode="External" Id="rId4" /><Relationship Type="http://schemas.openxmlformats.org/officeDocument/2006/relationships/hyperlink" Target="https://www.kaggle.com/datasets/DeadCardassian/pm25vision" TargetMode="External" Id="rId5"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1F3864"/>
    <outlinePr summaryBelow="1" summaryRight="1"/>
    <pageSetUpPr/>
  </sheetPr>
  <dimension ref="B1:L31"/>
  <sheetViews>
    <sheetView showGridLines="0" workbookViewId="0">
      <selection activeCell="A1" sqref="A1"/>
    </sheetView>
  </sheetViews>
  <sheetFormatPr baseColWidth="8" defaultRowHeight="15"/>
  <cols>
    <col width="2" customWidth="1" min="1" max="1"/>
    <col width="22" customWidth="1" min="2" max="2"/>
    <col width="10" customWidth="1" min="3" max="3"/>
    <col width="3" customWidth="1" min="4" max="4"/>
    <col width="22" customWidth="1" min="5" max="5"/>
    <col width="10" customWidth="1" min="6" max="6"/>
    <col width="3" customWidth="1" min="7" max="7"/>
    <col width="22" customWidth="1" min="8" max="8"/>
    <col width="10" customWidth="1" min="9" max="9"/>
    <col width="3" customWidth="1" min="10" max="10"/>
    <col width="14" customWidth="1" min="11" max="11"/>
    <col width="52" customWidth="1" min="12" max="12"/>
  </cols>
  <sheetData>
    <row r="1" ht="30" customHeight="1">
      <c r="B1" s="1" t="inlineStr">
        <is>
          <t>Image-Based Air-Quality Estimation: IEEE Literature Taxonomy</t>
        </is>
      </c>
    </row>
    <row r="2">
      <c r="B2" s="2" t="inlineStr">
        <is>
          <t>16 IEEE papers (Oct 2023-2026) that estimate air quality from real photos or camera images. Full texts read via IEEE Xplore (OsloMet access), 15 Oct 2026. Built for ACIT 4620.</t>
        </is>
      </c>
    </row>
    <row r="4" ht="20" customHeight="1">
      <c r="B4" s="3" t="inlineStr">
        <is>
          <t>PAPERS</t>
        </is>
      </c>
      <c r="C4" s="4" t="n"/>
      <c r="E4" s="3" t="inlineStr">
        <is>
          <t>PUBLIC DATASET</t>
        </is>
      </c>
      <c r="F4" s="4" t="n"/>
      <c r="H4" s="3" t="inlineStr">
        <is>
          <t>PUBLIC CODE</t>
        </is>
      </c>
      <c r="I4" s="4" t="n"/>
      <c r="K4" s="3" t="inlineStr">
        <is>
          <t>USE INDIA/NEPAL KAGGLE SET</t>
        </is>
      </c>
      <c r="L4" s="4" t="n"/>
    </row>
    <row r="5" ht="38" customHeight="1">
      <c r="B5" s="5">
        <f>COUNTA(Papers!$B$2:$B$200)</f>
        <v>16</v>
      </c>
      <c r="C5" s="4" t="n"/>
      <c r="E5" s="5">
        <f>COUNTIF(Papers!$O$2:$O$200,"Yes")</f>
        <v>8</v>
      </c>
      <c r="F5" s="4" t="n"/>
      <c r="H5" s="5">
        <f>COUNTIF(Papers!$F$2:$F$200,"http*")</f>
        <v>0</v>
      </c>
      <c r="I5" s="4" t="n"/>
      <c r="K5" s="5">
        <f>COUNTIF(Papers!$E$2:$E$200,"*india-and-nepal*")</f>
        <v>5</v>
      </c>
      <c r="L5" s="4" t="n"/>
    </row>
    <row r="7" ht="24" customHeight="1">
      <c r="B7" s="6" t="inlineStr">
        <is>
          <t>By year</t>
        </is>
      </c>
      <c r="E7" s="6" t="inlineStr">
        <is>
          <t>By image type</t>
        </is>
      </c>
      <c r="H7" s="6" t="inlineStr">
        <is>
          <t>By evidence quality</t>
        </is>
      </c>
      <c r="K7" s="6" t="inlineStr">
        <is>
          <t>Evidence quality legend</t>
        </is>
      </c>
    </row>
    <row r="8" ht="24" customHeight="1">
      <c r="B8" s="7" t="inlineStr">
        <is>
          <t>Year</t>
        </is>
      </c>
      <c r="C8" s="8" t="inlineStr">
        <is>
          <t>Papers</t>
        </is>
      </c>
      <c r="E8" s="7" t="inlineStr">
        <is>
          <t>Image type</t>
        </is>
      </c>
      <c r="F8" s="8" t="inlineStr">
        <is>
          <t>Papers</t>
        </is>
      </c>
      <c r="H8" s="7" t="inlineStr">
        <is>
          <t>Quality</t>
        </is>
      </c>
      <c r="I8" s="8" t="inlineStr">
        <is>
          <t>Papers</t>
        </is>
      </c>
      <c r="K8" s="9" t="inlineStr">
        <is>
          <t>High</t>
        </is>
      </c>
      <c r="L8" s="10" t="inlineStr">
        <is>
          <t>Public or multi-site data, held-out / cross-site test, consistent numbers.</t>
        </is>
      </c>
    </row>
    <row r="9" ht="24" customHeight="1">
      <c r="B9" s="11" t="n">
        <v>2024</v>
      </c>
      <c r="C9" s="12">
        <f>COUNTIF(Papers!$K$2:$K$200,B9)</f>
        <v>5</v>
      </c>
      <c r="E9" s="13" t="inlineStr">
        <is>
          <t>Smartphone</t>
        </is>
      </c>
      <c r="F9" s="12">
        <f>COUNTIF(Papers!$Q$2:$Q$200,E9)</f>
        <v>7</v>
      </c>
      <c r="H9" s="13" t="inlineStr">
        <is>
          <t>High</t>
        </is>
      </c>
      <c r="I9" s="12">
        <f>COUNTIF(Papers!$N$2:$N$200,H9)</f>
        <v>2</v>
      </c>
      <c r="K9" s="14" t="inlineStr">
        <is>
          <t>Medium</t>
        </is>
      </c>
      <c r="L9" s="10" t="inlineStr">
        <is>
          <t>Sound method, but one major caveat (single site, unclear split, sensor-driven).</t>
        </is>
      </c>
    </row>
    <row r="10" ht="24" customHeight="1">
      <c r="B10" s="11" t="n">
        <v>2025</v>
      </c>
      <c r="C10" s="12">
        <f>COUNTIF(Papers!$K$2:$K$200,B10)</f>
        <v>9</v>
      </c>
      <c r="E10" s="13" t="inlineStr">
        <is>
          <t>Fixed camera</t>
        </is>
      </c>
      <c r="F10" s="12">
        <f>COUNTIF(Papers!$Q$2:$Q$200,E10)</f>
        <v>5</v>
      </c>
      <c r="H10" s="13" t="inlineStr">
        <is>
          <t>Medium</t>
        </is>
      </c>
      <c r="I10" s="12">
        <f>COUNTIF(Papers!$N$2:$N$200,H10)</f>
        <v>4</v>
      </c>
      <c r="K10" s="15" t="inlineStr">
        <is>
          <t>Low</t>
        </is>
      </c>
      <c r="L10" s="10" t="inlineStr">
        <is>
          <t>Several inconsistencies, likely leakage, or private/tiny data.</t>
        </is>
      </c>
    </row>
    <row r="11" ht="24" customHeight="1">
      <c r="B11" s="11" t="n">
        <v>2026</v>
      </c>
      <c r="C11" s="12">
        <f>COUNTIF(Papers!$K$2:$K$200,B11)</f>
        <v>2</v>
      </c>
      <c r="E11" s="13" t="inlineStr">
        <is>
          <t>Drone</t>
        </is>
      </c>
      <c r="F11" s="12">
        <f>COUNTIF(Papers!$Q$2:$Q$200,E11)</f>
        <v>1</v>
      </c>
      <c r="H11" s="13" t="inlineStr">
        <is>
          <t>Low</t>
        </is>
      </c>
      <c r="I11" s="12">
        <f>COUNTIF(Papers!$N$2:$N$200,H11)</f>
        <v>9</v>
      </c>
      <c r="K11" s="16" t="inlineStr">
        <is>
          <t>Review</t>
        </is>
      </c>
      <c r="L11" s="10" t="inlineStr">
        <is>
          <t>Survey paper, no experiments.</t>
        </is>
      </c>
    </row>
    <row r="12" ht="24" customHeight="1">
      <c r="B12" s="17" t="inlineStr">
        <is>
          <t>Total</t>
        </is>
      </c>
      <c r="C12" s="18">
        <f>SUM(C9:C11)</f>
        <v>16</v>
      </c>
      <c r="E12" s="13" t="inlineStr">
        <is>
          <t>Sky photos</t>
        </is>
      </c>
      <c r="F12" s="12">
        <f>COUNTIF(Papers!$Q$2:$Q$200,E12)</f>
        <v>1</v>
      </c>
      <c r="H12" s="13" t="inlineStr">
        <is>
          <t>Review</t>
        </is>
      </c>
      <c r="I12" s="12">
        <f>COUNTIF(Papers!$N$2:$N$200,H12)</f>
        <v>1</v>
      </c>
    </row>
    <row r="13" ht="24" customHeight="1">
      <c r="E13" s="13" t="inlineStr">
        <is>
          <t>Web-scraped</t>
        </is>
      </c>
      <c r="F13" s="12">
        <f>COUNTIF(Papers!$Q$2:$Q$200,E13)</f>
        <v>1</v>
      </c>
      <c r="H13" s="17" t="inlineStr">
        <is>
          <t>Total</t>
        </is>
      </c>
      <c r="I13" s="18">
        <f>SUM(I9:I12)</f>
        <v>16</v>
      </c>
    </row>
    <row r="14" ht="24" customHeight="1">
      <c r="E14" s="13" t="inlineStr">
        <is>
          <t>Review</t>
        </is>
      </c>
      <c r="F14" s="12">
        <f>COUNTIF(Papers!$Q$2:$Q$200,E14)</f>
        <v>1</v>
      </c>
    </row>
    <row r="15" ht="24" customHeight="1">
      <c r="E15" s="17" t="inlineStr">
        <is>
          <t>Total</t>
        </is>
      </c>
      <c r="F15" s="18">
        <f>SUM(F9:F14)</f>
        <v>16</v>
      </c>
    </row>
    <row r="16" ht="24" customHeight="1"/>
    <row r="18">
      <c r="B18" s="6" t="inlineStr">
        <is>
          <t>Recommended starting points</t>
        </is>
      </c>
    </row>
    <row r="19">
      <c r="B19" s="19" t="inlineStr">
        <is>
          <t>Paper</t>
        </is>
      </c>
      <c r="C19" s="19" t="n"/>
      <c r="D19" s="19" t="n"/>
      <c r="E19" s="19" t="inlineStr">
        <is>
          <t>Why read it</t>
        </is>
      </c>
      <c r="F19" s="19" t="n"/>
      <c r="G19" s="19" t="n"/>
      <c r="H19" s="19" t="n"/>
      <c r="I19" s="19" t="n"/>
      <c r="J19" s="19" t="n"/>
      <c r="K19" s="19" t="n"/>
      <c r="L19" s="19" t="n"/>
    </row>
    <row r="20" ht="30" customHeight="1">
      <c r="B20" s="20" t="inlineStr">
        <is>
          <t>Location Generalizability (WACVW 2025)</t>
        </is>
      </c>
      <c r="C20" s="21" t="n"/>
      <c r="D20" s="21" t="n"/>
      <c r="E20" s="22" t="inlineStr">
        <is>
          <t>Only paper that tests unseen locations: &gt;80% at seen sites drops to &lt;=65% at new ones. Releases the public 147k-image NPS-AQI webcam dataset.</t>
        </is>
      </c>
      <c r="F20" s="21" t="n"/>
      <c r="G20" s="21" t="n"/>
      <c r="H20" s="21" t="n"/>
      <c r="I20" s="21" t="n"/>
      <c r="J20" s="21" t="n"/>
      <c r="K20" s="21" t="n"/>
      <c r="L20" s="21" t="n"/>
    </row>
    <row r="21" ht="30" customHeight="1">
      <c r="B21" s="20" t="inlineStr">
        <is>
          <t>SmartCamAirDetect (IEEE Access 2025)</t>
        </is>
      </c>
      <c r="C21" s="21" t="n"/>
      <c r="D21" s="21" t="n"/>
      <c r="E21" s="22" t="inlineStr">
        <is>
          <t>Few-label fixed cameras: contrastive image pairs + median-background removal; probabilistic output; public Hong Kong data.</t>
        </is>
      </c>
      <c r="F21" s="21" t="n"/>
      <c r="G21" s="21" t="n"/>
      <c r="H21" s="21" t="n"/>
      <c r="I21" s="21" t="n"/>
      <c r="J21" s="21" t="n"/>
      <c r="K21" s="21" t="n"/>
      <c r="L21" s="21" t="n"/>
    </row>
    <row r="22" ht="30" customHeight="1">
      <c r="B22" s="20" t="inlineStr">
        <is>
          <t>Mobile Image-Driven PM2.5 (IEEE Access 2025)</t>
        </is>
      </c>
      <c r="C22" s="21" t="n"/>
      <c r="D22" s="21" t="n"/>
      <c r="E22" s="22" t="inlineStr">
        <is>
          <t>Photos + weather fusion (EfficientNet-B1 + BiLSTM); honest about small single-site data.</t>
        </is>
      </c>
      <c r="F22" s="21" t="n"/>
      <c r="G22" s="21" t="n"/>
      <c r="H22" s="21" t="n"/>
      <c r="I22" s="21" t="n"/>
      <c r="J22" s="21" t="n"/>
      <c r="K22" s="21" t="n"/>
      <c r="L22" s="21" t="n"/>
    </row>
    <row r="23" ht="30" customHeight="1">
      <c r="B23" s="20" t="inlineStr">
        <is>
          <t>Deep Multi-Task Learning (ICCSC 2026)</t>
        </is>
      </c>
      <c r="C23" s="21" t="n"/>
      <c r="D23" s="21" t="n"/>
      <c r="E23" s="22" t="inlineStr">
        <is>
          <t>ResNet50 + physics features (entropy, RMS contrast, dark-channel transmission); joint AQI class + PM2.5 on the India/Nepal set.</t>
        </is>
      </c>
      <c r="F23" s="21" t="n"/>
      <c r="G23" s="21" t="n"/>
      <c r="H23" s="21" t="n"/>
      <c r="I23" s="21" t="n"/>
      <c r="J23" s="21" t="n"/>
      <c r="K23" s="21" t="n"/>
      <c r="L23" s="21" t="n"/>
    </row>
    <row r="24" ht="30" customHeight="1">
      <c r="B24" s="20" t="inlineStr">
        <is>
          <t>SkyFuseNet (IMSA 2026)</t>
        </is>
      </c>
      <c r="C24" s="21" t="n"/>
      <c r="D24" s="21" t="n"/>
      <c r="E24" s="22" t="inlineStr">
        <is>
          <t>Swin + cross-attention image/sensor fusion design. Caution: image-only branch fails (RMSE 158.95); results are sensor-driven.</t>
        </is>
      </c>
      <c r="F24" s="21" t="n"/>
      <c r="G24" s="21" t="n"/>
      <c r="H24" s="21" t="n"/>
      <c r="I24" s="21" t="n"/>
      <c r="J24" s="21" t="n"/>
      <c r="K24" s="21" t="n"/>
      <c r="L24" s="21" t="n"/>
    </row>
    <row r="27">
      <c r="B27" s="6" t="inlineStr">
        <is>
          <t>How to use this workbook</t>
        </is>
      </c>
    </row>
    <row r="28" ht="26" customHeight="1">
      <c r="B28" s="23" t="inlineStr">
        <is>
          <t>•  Papers: one row per paper. Filter with the header arrows; Title and # stay visible while you scroll right. DOI and PDF cells are clickable (PDFs open from the papers/ folder).</t>
        </is>
      </c>
    </row>
    <row r="29" ht="26" customHeight="1">
      <c r="B29" s="23" t="inlineStr">
        <is>
          <t>•  Evidence Quality, Public Data and Image Type have drop-downs. Change them and every count on this page updates.</t>
        </is>
      </c>
    </row>
    <row r="30" ht="26" customHeight="1">
      <c r="B30" s="23" t="inlineStr">
        <is>
          <t>•  Datasets: catalogue of every dataset the papers use, with a live count of how many papers use each one.</t>
        </is>
      </c>
    </row>
    <row r="31" ht="26" customHeight="1">
      <c r="B31" s="23" t="inlineStr">
        <is>
          <t>•  No paper released code. Accuracy figures are copied from each paper and are not comparable across datasets; see Red Flags before citing a number.</t>
        </is>
      </c>
    </row>
  </sheetData>
  <mergeCells count="24">
    <mergeCell ref="E21:L21"/>
    <mergeCell ref="B23:D23"/>
    <mergeCell ref="E5:F5"/>
    <mergeCell ref="K5:L5"/>
    <mergeCell ref="E24:L24"/>
    <mergeCell ref="H4:I4"/>
    <mergeCell ref="E23:L23"/>
    <mergeCell ref="B31:L31"/>
    <mergeCell ref="E4:F4"/>
    <mergeCell ref="B19:D19"/>
    <mergeCell ref="E20:L20"/>
    <mergeCell ref="E19:L19"/>
    <mergeCell ref="B24:D24"/>
    <mergeCell ref="B20:D20"/>
    <mergeCell ref="B29:L29"/>
    <mergeCell ref="B28:L28"/>
    <mergeCell ref="B30:L30"/>
    <mergeCell ref="B5:C5"/>
    <mergeCell ref="B22:D22"/>
    <mergeCell ref="H5:I5"/>
    <mergeCell ref="B21:D21"/>
    <mergeCell ref="E22:L22"/>
    <mergeCell ref="K4:L4"/>
    <mergeCell ref="B4:C4"/>
  </mergeCells>
  <conditionalFormatting sqref="C9:C11">
    <cfRule type="dataBar" priority="1">
      <dataBar>
        <cfvo type="num" val="0"/>
        <cfvo type="max"/>
        <color rgb="005B9BD5"/>
      </dataBar>
    </cfRule>
  </conditionalFormatting>
  <conditionalFormatting sqref="F9:F14">
    <cfRule type="dataBar" priority="2">
      <dataBar>
        <cfvo type="num" val="0"/>
        <cfvo type="max"/>
        <color rgb="005B9BD5"/>
      </dataBar>
    </cfRule>
  </conditionalFormatting>
  <conditionalFormatting sqref="I9:I12">
    <cfRule type="dataBar" priority="3">
      <dataBar>
        <cfvo type="num" val="0"/>
        <cfvo type="max"/>
        <color rgb="005B9BD5"/>
      </dataBar>
    </cfRule>
  </conditionalFormatting>
  <conditionalFormatting sqref="H9:H12">
    <cfRule type="cellIs" priority="4" operator="equal" dxfId="0">
      <formula>"High"</formula>
    </cfRule>
    <cfRule type="cellIs" priority="5" operator="equal" dxfId="1">
      <formula>"Medium"</formula>
    </cfRule>
    <cfRule type="cellIs" priority="6" operator="equal" dxfId="2">
      <formula>"Low"</formula>
    </cfRule>
    <cfRule type="cellIs" priority="7" operator="equal" dxfId="3">
      <formula>"Review"</formula>
    </cfRule>
  </conditionalFormatting>
  <hyperlinks>
    <hyperlink ref="B20" location="Papers!B10" display="Location Generalizability (WACVW 2025)"/>
    <hyperlink ref="B21" location="Papers!B12" display="SmartCamAirDetect (IEEE Access 2025)"/>
    <hyperlink ref="B22" location="Papers!B4" display="Mobile Image-Driven PM2.5 (IEEE Access 2025)"/>
    <hyperlink ref="B23" location="Papers!B2" display="Deep Multi-Task Learning (ICCSC 2026)"/>
    <hyperlink ref="B24" location="Papers!B3" display="SkyFuseNet (IMSA 2026)"/>
  </hyperlinks>
  <pageMargins left="0.75" right="0.75" top="1" bottom="1" header="0.5" footer="0.5"/>
</worksheet>
</file>

<file path=xl/worksheets/sheet2.xml><?xml version="1.0" encoding="utf-8"?>
<worksheet xmlns="http://schemas.openxmlformats.org/spreadsheetml/2006/main">
  <sheetPr>
    <tabColor rgb="002E75B6"/>
    <outlinePr summaryBelow="1" summaryRight="1"/>
    <pageSetUpPr fitToPage="1"/>
  </sheetPr>
  <dimension ref="A1:T17"/>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31" customWidth="1" min="3" max="3"/>
    <col width="26" customWidth="1" min="4" max="4"/>
    <col width="52" customWidth="1" min="5" max="5"/>
    <col width="13" customWidth="1" min="6" max="6"/>
    <col width="44" customWidth="1" min="7" max="7"/>
    <col width="44" customWidth="1" min="8" max="8"/>
    <col width="46" customWidth="1" min="9" max="9"/>
    <col width="24" customWidth="1" min="10" max="10"/>
    <col width="7" customWidth="1" min="11" max="11"/>
    <col width="46" customWidth="1" min="12" max="12"/>
    <col width="56" customWidth="1" min="13" max="13"/>
    <col width="12" customWidth="1" min="14" max="14"/>
    <col width="10" customWidth="1" min="15" max="15"/>
    <col width="22" customWidth="1" min="16" max="16"/>
    <col width="13" customWidth="1" min="17" max="17"/>
    <col width="26" customWidth="1" min="18" max="18"/>
    <col width="46" customWidth="1" min="19" max="19"/>
    <col width="11" customWidth="1" min="20" max="20"/>
  </cols>
  <sheetData>
    <row r="1" ht="32" customHeight="1">
      <c r="A1" s="24" t="inlineStr">
        <is>
          <t>#</t>
        </is>
      </c>
      <c r="B1" s="24" t="inlineStr">
        <is>
          <t>Title</t>
        </is>
      </c>
      <c r="C1" s="24" t="inlineStr">
        <is>
          <t>DOI</t>
        </is>
      </c>
      <c r="D1" s="24" t="inlineStr">
        <is>
          <t>Authors</t>
        </is>
      </c>
      <c r="E1" s="24" t="inlineStr">
        <is>
          <t>Datasets</t>
        </is>
      </c>
      <c r="F1" s="24" t="inlineStr">
        <is>
          <t>Code URL</t>
        </is>
      </c>
      <c r="G1" s="24" t="inlineStr">
        <is>
          <t>Implementation</t>
        </is>
      </c>
      <c r="H1" s="24" t="inlineStr">
        <is>
          <t>Models</t>
        </is>
      </c>
      <c r="I1" s="24" t="inlineStr">
        <is>
          <t>Accuracy</t>
        </is>
      </c>
      <c r="J1" s="24" t="inlineStr">
        <is>
          <t>Base Model</t>
        </is>
      </c>
      <c r="K1" s="24" t="inlineStr">
        <is>
          <t>Year</t>
        </is>
      </c>
      <c r="L1" s="24" t="inlineStr">
        <is>
          <t>Core Vision Filter</t>
        </is>
      </c>
      <c r="M1" s="24" t="inlineStr">
        <is>
          <t>Useful Text</t>
        </is>
      </c>
      <c r="N1" s="24" t="inlineStr">
        <is>
          <t>Evidence Quality</t>
        </is>
      </c>
      <c r="O1" s="24" t="inlineStr">
        <is>
          <t>Public Data</t>
        </is>
      </c>
      <c r="P1" s="24" t="inlineStr">
        <is>
          <t>Task</t>
        </is>
      </c>
      <c r="Q1" s="24" t="inlineStr">
        <is>
          <t>Image Type</t>
        </is>
      </c>
      <c r="R1" s="24" t="inlineStr">
        <is>
          <t>Venue</t>
        </is>
      </c>
      <c r="S1" s="24" t="inlineStr">
        <is>
          <t>Red Flags</t>
        </is>
      </c>
      <c r="T1" s="24" t="inlineStr">
        <is>
          <t>PDF</t>
        </is>
      </c>
    </row>
    <row r="2" ht="117.4" customHeight="1">
      <c r="A2" s="25" t="n">
        <v>1</v>
      </c>
      <c r="B2" s="26" t="inlineStr">
        <is>
          <t>Deep Multi-Task Learning for AQI Classification and PM2.5 Estimation from Images</t>
        </is>
      </c>
      <c r="C2" s="27" t="inlineStr">
        <is>
          <t>10.1109/ICCSC71566.2026.11650424</t>
        </is>
      </c>
      <c r="D2" s="28" t="inlineStr">
        <is>
          <t>Doha Akdim; Khadija Marzagui; Toufik Mzili; Hassan Silkan</t>
        </is>
      </c>
      <c r="E2" s="28" t="inlineStr">
        <is>
          <t>Air Pollution Image Dataset from India and Nepal (Kaggle): 12,240 ground-level RGB images, multiple cities in India and Nepal; PM2.5, PM10, O3, CO, SO2, NO2 + AQI class; 6 US-EPA PM2.5 classes (Good 1,541; Moderate 1,573; USG 2,863; Unhealthy 2,622; Very Unhealthy 2,194; Severe 1,447). https://www.kaggle.com/datasets/adarshrouniyar/air-pollution-image-dataset-from-india-and-nepal</t>
        </is>
      </c>
      <c r="F2" s="29" t="inlineStr">
        <is>
          <t>none found</t>
        </is>
      </c>
      <c r="G2" s="28" t="inlineStr">
        <is>
          <t>PyTorch 2.2.2 on MacBook Pro (Apple M-series CPU, 16 GB RAM, no GPU); Adam lr 1e-4, 20 epochs, batch 32, input 224x224; ImageNet ResNet50 fine-tuned end to end; stratified 70/10/20; loss = l1*MSE + l2*class-weighted CE</t>
        </is>
      </c>
      <c r="H2" s="28" t="inlineStr">
        <is>
          <t>Physics-guided multi-task network: ResNet50 deep features + 3 physics descriptors via sigmoid attention fusion, PM2.5 regression head + 6-class head; baselines physics-only SVM, ResNet50 only, deep+physics concat (single-task and multi-task); quoted (not re-run) Eff-AQI and AQFusionNet</t>
        </is>
      </c>
      <c r="I2" s="28" t="inlineStr">
        <is>
          <t>Test: 6-class acc 95.2%, F1 0.95; regression R² 0.912, MAE 31.47 µg/m³, RMSE 42.63 µg/m³. Baselines: physics-only SVM 61.3%; ResNet50 only 89.7%; concat single-task 91.4%; concat multi-task 93.6% (R² 0.896, MAE 34.2)</t>
        </is>
      </c>
      <c r="J2" s="28" t="inlineStr">
        <is>
          <t>ResNet50 (ImageNet)</t>
        </is>
      </c>
      <c r="K2" s="30" t="n">
        <v>2026</v>
      </c>
      <c r="L2" s="28" t="inlineStr">
        <is>
          <t>Resize 224x224; ImageNet normalisation; augmentation: horizontal flip, rotation, brightness/contrast; physics descriptors: Shannon entropy of intensity histogram, RMS contrast, dark-channel-prior transmission t(x)=1-w*min(min_c I/A) (w, patch size, A estimation not reported)</t>
        </is>
      </c>
      <c r="M2" s="28" t="inlineStr">
        <is>
          <t>"as the model is validated with only one dataset from India and Nepal, its performance has not been tested in other areas with different aerosols and urban characteristics" (Sec. 5.5). Paraphrase: attention fusion of ResNet50 features with entropy/contrast/dark-channel transmission, jointly predicting AQI class and PM2.5; physics features add ~2-4 points over ResNet50 alone.</t>
        </is>
      </c>
      <c r="N2" s="25" t="inlineStr">
        <is>
          <t>Medium</t>
        </is>
      </c>
      <c r="O2" s="25" t="inlineStr">
        <is>
          <t>Yes</t>
        </is>
      </c>
      <c r="P2" s="28" t="inlineStr">
        <is>
          <t>Regression (PM2.5) + 6-class AQI classification</t>
        </is>
      </c>
      <c r="Q2" s="25" t="inlineStr">
        <is>
          <t>Smartphone</t>
        </is>
      </c>
      <c r="R2" s="28" t="inlineStr">
        <is>
          <t>2026 International Conference on Circuit, Systems and Communication (ICCSC)</t>
        </is>
      </c>
      <c r="S2" s="31" t="inlineStr">
        <is>
          <t>Random image-level split, same sites/hours across splits (near-duplicate leakage risk; test acc equals val acc); class-overlap statement contradicts Table 1; SOTA numbers copied, not re-run; MAE 31.5 wider than several class bins; fusion of 2048-d with 3-d vector unexplained</t>
        </is>
      </c>
      <c r="T2" s="32" t="inlineStr">
        <is>
          <t>Open PDF</t>
        </is>
      </c>
    </row>
    <row r="3" ht="130" customHeight="1">
      <c r="A3" s="33" t="n">
        <v>2</v>
      </c>
      <c r="B3" s="34" t="inlineStr">
        <is>
          <t>SkyFuseNet: A Cross-Attention Swin Transformer-Based Model for PM2.5 Estimation Using Ground-Level Images and Air Quality Readings</t>
        </is>
      </c>
      <c r="C3" s="35" t="inlineStr">
        <is>
          <t>10.1109/IMSA70415.2026.11700341</t>
        </is>
      </c>
      <c r="D3" s="36" t="inlineStr">
        <is>
          <t>Mohamed Saleh Abdelsalam; Gehad Ismail Sayed</t>
        </is>
      </c>
      <c r="E3" s="36" t="inlineStr">
        <is>
          <t>India and Nepal Air Pollution Image Dataset (Kaggle, compiled by Utomo et al./Eff-AQI): 12,240 daylight smartphone images, 7 sites in India + 1 in Nepal; labels from CPCB (PM2.5, PM10, O3, CO, SO2, NO2) + time/location metadata; 6 AQI classes. https://www.kaggle.com/datasets/adarshrouniyar/air-pollution-image-dataset-from-india-and-nepal</t>
        </is>
      </c>
      <c r="F3" s="37" t="inlineStr">
        <is>
          <t>none found</t>
        </is>
      </c>
      <c r="G3" s="36" t="inlineStr">
        <is>
          <t>PyTorch on Kaggle, 1x NVIDIA P100 16GB; AdamW (wd 1e-4), batch 32; 2-stage fine-tune: 10 epochs backbone frozen (lr 1e-3) then 25 epochs last 2 Swin stages unfrozen (lr 1e-4, cosine to 1e-6); early stop patience 7 on val MAE; stratified 70/30 split; ~90 min training; 49.63M params, 8.55 GFLOPs, 169 ms CPU inference</t>
        </is>
      </c>
      <c r="H3" s="36" t="inlineStr">
        <is>
          <t>SkyFuseNet (Swin-S + attention-pooling neck + 3-layer MLP sensor encoder + cross-attention fusion + dual regression/classification heads, loss = L_MAE + 0.3*L_CE); baseline Eff-AQI (Utomo et al. 2023); ablations image-only and sensor-only</t>
        </is>
      </c>
      <c r="I3" s="36" t="inlineStr">
        <is>
          <t>Test MAE 3.03 µg/m³, RMSE 5.70 µg/m³, R² 0.9981 (also printed as 0.991/0.99), MAPE 3.10%, 6-class AQI acc 91.45%, macro-F1 0.9214; Eff-AQI RMSE 14.62, acc 89.38%; ablation: image-only RMSE 158.95, sensor-only RMSE 6.05</t>
        </is>
      </c>
      <c r="J3" s="36" t="inlineStr">
        <is>
          <t>Swin Transformer Small (Swin-S, ImageNet-22k pretrained)</t>
        </is>
      </c>
      <c r="K3" s="38" t="n">
        <v>2026</v>
      </c>
      <c r="L3" s="36" t="inlineStr">
        <is>
          <t>Resize 224x224; ImageNet mean/std normalisation; train-only augmentation: random flip, colour jitter (brightness +/-0.3, contrast +/-0.3, saturation +/-0.2), Gaussian blur sigma 0.1-2.0 to mimic haze; learnable attention pooling over 49 Swin tokens that up-weights sky tokens and suppresses buildings/foreground (implicit sky ROI); sensors z-scored, median imputation</t>
        </is>
      </c>
      <c r="M3" s="36" t="inlineStr">
        <is>
          <t>"Current image-based estimation methods mostly rely on CNNs, which only capture local features, without using concurrent sensor data" (Abstract). Paraphrase: first Swin-Transformer + cross-attention fusion of sky photos with station readings, multitask regression+AQI class. Caution: the sensor branch includes PM10 (r=0.83 with the PM2.5 target), and the ablation shows image-only RMSE 158.95 vs sensor-only 6.05, so the result is driven by sensor readings, not the image.</t>
        </is>
      </c>
      <c r="N3" s="33" t="inlineStr">
        <is>
          <t>Medium</t>
        </is>
      </c>
      <c r="O3" s="33" t="inlineStr">
        <is>
          <t>Yes</t>
        </is>
      </c>
      <c r="P3" s="36" t="inlineStr">
        <is>
          <t>Regression (PM2.5) + 6-class AQI classification</t>
        </is>
      </c>
      <c r="Q3" s="33" t="inlineStr">
        <is>
          <t>Smartphone</t>
        </is>
      </c>
      <c r="R3" s="36" t="inlineStr">
        <is>
          <t>2026 Intelligent Methods, Systems, and Applications (IMSA)</t>
        </is>
      </c>
      <c r="S3" s="39" t="inlineStr">
        <is>
          <t>Sensor input contains PM10 (near-proxy of target); image branch alone fails (RMSE 158.95); random stratified split; R² reported inconsistently (0.9981/0.991/0.99); India/Nepal only</t>
        </is>
      </c>
      <c r="T3" s="40" t="inlineStr">
        <is>
          <t>Open PDF</t>
        </is>
      </c>
    </row>
    <row r="4" ht="117.4" customHeight="1">
      <c r="A4" s="25" t="n">
        <v>3</v>
      </c>
      <c r="B4" s="26" t="inlineStr">
        <is>
          <t>A Mobile Image-Driven PM2.5 Estimation Framework Using Deep Learning Techniques</t>
        </is>
      </c>
      <c r="C4" s="27" t="inlineStr">
        <is>
          <t>10.1109/ACCESS.2024.3521966</t>
        </is>
      </c>
      <c r="D4" s="28" t="inlineStr">
        <is>
          <t>Anupam Kamble; Somrawee Aramkul; Paskorn Champrasert</t>
        </is>
      </c>
      <c r="E4" s="28" t="inlineStr">
        <is>
          <t>(1) CMU dataset (own, not public): one fixed view in Chiang Mai, Thailand, smartphone, Dec 2021-Jun 2022 (haze season), 442 HDR + 442 non-HDR time-series images, PM2.5 2-98.4 µg/m³ from a portable Xiaomi sensor; temperature/wind/humidity from IQAir AirVisual; 80/20 split. (2) DTU subset of VISIONAIR (Delhi, public): 369 images every 5 min over 4 days, PM2.5 24.17-85.7 µg/m³. https://vision-air.github.io/feature.html</t>
        </is>
      </c>
      <c r="F4" s="29" t="inlineStr">
        <is>
          <t>none found</t>
        </is>
      </c>
      <c r="G4" s="28" t="inlineStr">
        <is>
          <t>Framework not named (PyTorch inferred); Chiang Mai Univ. Erawan HPC (AMD EPYC 7742, NVIDIA HGX A100); ImageNet-pretrained backbone frozen except last layer; Adam lr 0.0005, batch 16; 500 epochs (1000 with weather); BiLSTM 2 layers, hidden 32; inputs 224 (B0/ResNet), 240 (B1), 260 (B2), 300 (B3); images shuffled (removes time order)</t>
        </is>
      </c>
      <c r="H4" s="28" t="inlineStr">
        <is>
          <t>EfficientNet-B1-BiLSTM; Met-EfficientNet-B1-BiLSTM (+temperature, wind speed, humidity); Temp-/Hum-/WS- single-feature variants; baselines EfficientNet-B0/B2/B3-BiLSTM, EfficientNet-B1-LSTM, ResNet-18-LSTM/BiLSTM, ResNet-50-LSTM/BiLSTM</t>
        </is>
      </c>
      <c r="I4" s="28" t="inlineStr">
        <is>
          <t>CMU shuffled: EffNet-B1-BiLSTM MAE 8.2 µg/m³, SMAPE 31%, r 0.61; Met-EffNet-B1-BiLSTM (HDR) MAE 7.6, SMAPE 29%, r 0.68; unshuffled MAE 14.60, r 0.50. DTU shuffled: MAE 5.3, r 0.91; Met variant MAE 4.06, SMAPE 8.3%, r 0.94 (best). No R²/RMSE reported</t>
        </is>
      </c>
      <c r="J4" s="28" t="inlineStr">
        <is>
          <t>EfficientNet-B1 (ImageNet, frozen feature extractor, 7.79M params) + 2-layer BiLSTM</t>
        </is>
      </c>
      <c r="K4" s="30" t="n">
        <v>2025</v>
      </c>
      <c r="L4" s="28" t="inlineStr">
        <is>
          <t>Resize to backbone input (240x240 for B1); HDR capture mode on the phone (HDR beat non-HDR); no hand-crafted haze features, no sky ROI, no augmentation reported</t>
        </is>
      </c>
      <c r="M4" s="28" t="inlineStr">
        <is>
          <t>"The use of HDR images for feature extraction proved to be a better choice than the regular non-HDR images in estimating the PM2.5 concentration value" (Sec. V). Paraphrase: lightweight frozen EfficientNet-B1 + BiLSTM beats ResNet-LSTM on a small phone-photo dataset; HDR capture and weather inputs give modest gains. Authors admit "a small dataset" (Sec. VI).</t>
        </is>
      </c>
      <c r="N4" s="25" t="inlineStr">
        <is>
          <t>Medium</t>
        </is>
      </c>
      <c r="O4" s="25" t="inlineStr">
        <is>
          <t>Partial</t>
        </is>
      </c>
      <c r="P4" s="28" t="inlineStr">
        <is>
          <t>Regression (PM2.5)</t>
        </is>
      </c>
      <c r="Q4" s="25" t="inlineStr">
        <is>
          <t>Smartphone</t>
        </is>
      </c>
      <c r="R4" s="28" t="inlineStr">
        <is>
          <t>IEEE Access, vol. 13 (online 24 Dec 2024)</t>
        </is>
      </c>
      <c r="S4" s="31" t="inlineStr">
        <is>
          <t>Single site, 442 images; labels from a consumer sensor; good results only after shuffling time order (random split of time series); HDR table r differs between Tables 4 and 5</t>
        </is>
      </c>
      <c r="T4" s="32" t="inlineStr">
        <is>
          <t>Open PDF</t>
        </is>
      </c>
    </row>
    <row r="5" ht="104.8" customHeight="1">
      <c r="A5" s="33" t="n">
        <v>4</v>
      </c>
      <c r="B5" s="34" t="inlineStr">
        <is>
          <t>Deep Learning-Based PM2.5 Concentration Estimation Using Convolutional Neural Network on Environmental Image Data</t>
        </is>
      </c>
      <c r="C5" s="35" t="inlineStr">
        <is>
          <t>10.1109/RAIT65068.2025.11089033</t>
        </is>
      </c>
      <c r="D5" s="36" t="inlineStr">
        <is>
          <t>Bhuma Chandra Mohan; Naga Raju Challa; M Lenin Babu; T. Krishna Chaitanya; Ch. V. M. S. N. Pavan Kumar; Sumanth Kumar Panguluri; Naga Pavan Kumar Lingisetty</t>
        </is>
      </c>
      <c r="E5" s="36" t="inlineStr">
        <is>
          <t>VISIONAIR (public, https://vision-air.github.io/feature.html), non-HDR, New Delhi: DTU 440, Shadipur 244, ITO 499 images (1,183 total), 1024x1365 JPEG; labels from Pollution Control Board; webcam/smartphone (paper inconsistent)</t>
        </is>
      </c>
      <c r="F5" s="37" t="inlineStr">
        <is>
          <t>none found</t>
        </is>
      </c>
      <c r="G5" s="36" t="inlineStr">
        <is>
          <t>PyTorch on Google Colab; 125 Hugging Face pretrained models as frozen feature extractors (last pooling layer); 5-fold CV with Ridge to screen backbones; 32 regressors compared; resize + ImageNet normalisation; oversampling (SMOTER, Gaussian noise, WERCS, REBAGG, random over/under)</t>
        </is>
      </c>
      <c r="H5" s="36" t="inlineStr">
        <is>
          <t>Frozen pretrained CNN features + KNN regressor + target oversampling (best); best backbones: ITO ResNetV2-50x1-BiT-M-in21k, DTU ResNet50 (torchvision), Shadipur CS3DarkNet-M; 32 sklearn/XGB/LGBM regressors compared</t>
        </is>
      </c>
      <c r="I5" s="36" t="inlineStr">
        <is>
          <t>Per site R²: Shadipur 0.960, ITO 0.960, DTU 0.965; MAE ~1.0-1.1, RMSE ~2.1 (units unstated, likely µg/m³); MAPE 2.3-2.9%; KNN on DTU before oversampling R² ~0.91</t>
        </is>
      </c>
      <c r="J5" s="36" t="inlineStr">
        <is>
          <t>Frozen ResNetV2-50x1 BiT-M / ResNet50 / CS3DarkNet-M + KNN regressor</t>
        </is>
      </c>
      <c r="K5" s="38" t="n">
        <v>2025</v>
      </c>
      <c r="L5" s="36" t="inlineStr">
        <is>
          <t>Resize + ImageNet mean/std normalisation only; no hand-crafted vision features, sky ROI or augmentation; imbalance handled in label space (SMOTER, WERCS, REBAGG, Gaussian-noise oversampling)</t>
        </is>
      </c>
      <c r="M5" s="36" t="inlineStr">
        <is>
          <t>"KNN regressor did well for all three datasets with the above specified pre-trained CNNs" (Sec. VII). Paraphrase: brute-force transfer-learning benchmark (125 backbones x 32 regressors x 6 resamplers) per Delhi site; very high R² on tiny datasets.</t>
        </is>
      </c>
      <c r="N5" s="33" t="inlineStr">
        <is>
          <t>Low</t>
        </is>
      </c>
      <c r="O5" s="33" t="inlineStr">
        <is>
          <t>Yes</t>
        </is>
      </c>
      <c r="P5" s="36" t="inlineStr">
        <is>
          <t>Regression (PM2.5)</t>
        </is>
      </c>
      <c r="Q5" s="33" t="inlineStr">
        <is>
          <t>Fixed camera</t>
        </is>
      </c>
      <c r="R5" s="36" t="inlineStr">
        <is>
          <t>2025 6th International Conference on Recent Advances in Information Technology (RAIT)</t>
        </is>
      </c>
      <c r="S5" s="39" t="inlineStr">
        <is>
          <t>244-499 images per site; oversampling possibly before CV split (leakage); model selection on same CV with no held-out test; near-duplicate same-scene frames across folds; R² &gt;0.91 (abstract) vs &gt;0.95 (conclusion); impossible values in Table I (&gt;1)</t>
        </is>
      </c>
      <c r="T5" s="40" t="inlineStr">
        <is>
          <t>Open PDF</t>
        </is>
      </c>
    </row>
    <row r="6" ht="104.8" customHeight="1">
      <c r="A6" s="25" t="n">
        <v>5</v>
      </c>
      <c r="B6" s="26" t="inlineStr">
        <is>
          <t>Enhancing PM2.5 Detection via Multispectral Image-Based Double-Channel Ensemble Learning for Drones</t>
        </is>
      </c>
      <c r="C6" s="27" t="inlineStr">
        <is>
          <t>10.1109/JSEN.2025.3585177</t>
        </is>
      </c>
      <c r="D6" s="28" t="inlineStr">
        <is>
          <t>Chao-Yang Lee; Lebaku Moses Manova</t>
        </is>
      </c>
      <c r="E6" s="28" t="inlineStr">
        <is>
          <t>Own UAV dataset (available on request): 23,100 images, DJI Phantom 4 Multispectral at ~100 m, Yunlin, Taiwan, Dec 2021-Nov 2024; bands NIR 850, red-edge 750, R 650, G 560, B 450 nm + RGB; labels PM2.5 from nearby monitoring stations; 3 levels (0-12, 12.1-35.4, &gt;35.4 µg/m³); sunny/partly cloudy capture</t>
        </is>
      </c>
      <c r="F6" s="29" t="inlineStr">
        <is>
          <t>none found</t>
        </is>
      </c>
      <c r="G6" s="28" t="inlineStr">
        <is>
          <t>Framework/training hardware not reported; inference on NVIDIA Xavier NX; inputs RGB 256x256x3 + stacked R,B,NIR,RE 256x256x4; 3 conv blocks per channel (32/64/128 filters) + 1x1-conv attention mask + GWAP; 1.57M params; converges ~142 epochs; split not reported</t>
        </is>
      </c>
      <c r="H6" s="28" t="inlineStr">
        <is>
          <t>DCEL-PM2.5 (dual-channel CNN + attention + GWAP, weighted-average ensemble); baselines VGG16, ResNet50, DenseNet121, Xception, DCWCN, ViT-Net 8-head, ConvLSTM, BiConvLSTM, CR-LSTM, Deep-AIR, Halation-based, ViT, Swin; ablations no-attention, GAP, single-channel, no-BN, RGB-only, +green</t>
        </is>
      </c>
      <c r="I6" s="28" t="inlineStr">
        <is>
          <t>3-level accuracy 99.60% (RGB+NIR+RE+B+R), F1 0.85; RGB-only 95.13%; Swin 94.73%, ViT 92.85%, ResNet50 88.90%; regression R² 0.986; 2.9 FPS on Xavier NX</t>
        </is>
      </c>
      <c r="J6" s="28" t="inlineStr">
        <is>
          <t>Custom lightweight dual-channel CNN (no pretrained backbone)</t>
        </is>
      </c>
      <c r="K6" s="30" t="n">
        <v>2025</v>
      </c>
      <c r="L6" s="28" t="inlineStr">
        <is>
          <t>Resize 256x256; drop green band (vegetation); stack R, B, NIR, red-edge as 4-channel input; learned 1x1-conv sigmoid attention mask; BatchNorm; global weighted average pooling; no hand-crafted haze features, no augmentation</t>
        </is>
      </c>
      <c r="M6" s="28" t="inlineStr">
        <is>
          <t>"RGB images captured by drones often struggle to distinguish between PM2.5 and clouds or fog in the sky" (Abstract). Paraphrase: near-infrared and red-edge bands from a multispectral drone camera separate haze from cloud/fog better than RGB (95.1% -&gt; 99.6% on 3 PM2.5 levels).</t>
        </is>
      </c>
      <c r="N6" s="25" t="inlineStr">
        <is>
          <t>Low</t>
        </is>
      </c>
      <c r="O6" s="25" t="inlineStr">
        <is>
          <t>No</t>
        </is>
      </c>
      <c r="P6" s="28" t="inlineStr">
        <is>
          <t>Classification (3 PM2.5 levels) + regression</t>
        </is>
      </c>
      <c r="Q6" s="25" t="inlineStr">
        <is>
          <t>Drone</t>
        </is>
      </c>
      <c r="R6" s="28" t="inlineStr">
        <is>
          <t>IEEE Sensors Journal, vol. 25, no. 17, pp. 33528-33539</t>
        </is>
      </c>
      <c r="S6" s="31" t="inlineStr">
        <is>
          <t>Train/test split not reported on sequential imagery (near-duplicate leakage risk); one county, private data; many inconsistencies (F1 0.82 vs 0.85, FPS, inference time 0.0775 vs 0.340 s, weather results vs capture protocol); 99.6% accuracy with recall 0.81</t>
        </is>
      </c>
      <c r="T6" s="32" t="inlineStr">
        <is>
          <t>Open PDF</t>
        </is>
      </c>
    </row>
    <row r="7" ht="117.4" customHeight="1">
      <c r="A7" s="33" t="n">
        <v>6</v>
      </c>
      <c r="B7" s="34" t="inlineStr">
        <is>
          <t>Forecasting and Visualizing Air Quality from Sky Images with Vision-Language Models</t>
        </is>
      </c>
      <c r="C7" s="35" t="inlineStr">
        <is>
          <t>10.1109/ICCVW69036.2025.00288</t>
        </is>
      </c>
      <c r="D7" s="36" t="inlineStr">
        <is>
          <t>Mohammad Saleh Vahdatpour; Maryam Eyvazi; Yanqing Zhang</t>
        </is>
      </c>
      <c r="E7" s="36" t="inlineStr">
        <is>
          <t>Own curated sky-image dataset (not public, unnamed): ~5,000 images from &gt;10 unnamed urban regions; paired with PM2.5, PM10, O3, CO, NO2 from unnamed government agencies; 5 EPA AQI classes; 70/15/15 stratified</t>
        </is>
      </c>
      <c r="F7" s="37" t="inlineStr">
        <is>
          <t>none found (arXiv 2509.15076)</t>
        </is>
      </c>
      <c r="G7" s="36" t="inlineStr">
        <is>
          <t>Framework/hardware/optimizer/epochs not reported; sky region resized to 200x200; best CNN C(6)(5)-S(2)-C(6)(5)-S(2)-C(10)(5); BLIP-2 prompt-conditioned diffusion generator; 12-person user study</t>
        </is>
      </c>
      <c r="H7" s="36" t="inlineStr">
        <is>
          <t>Gabor-moment features + Random Forest; 3 shallow CNN variants; KNN (k=3, k=5); BLIP-2-guided diffusion for counterfactual pollution images</t>
        </is>
      </c>
      <c r="I7" s="36" t="inlineStr">
        <is>
          <t>5-class AQI: best CNN acc 89.4%, macro-F1 88.1%; RF (Gabor) 85.2/83.6; KNN 82.5/79.2 and 79.0/76.9; generated images re-classified 89.6%; SSIM 0.823, FID 18.6; interpretability 4.3/5 vs 3.5/5 text-only</t>
        </is>
      </c>
      <c r="J7" s="36" t="inlineStr">
        <is>
          <t>Custom shallow 3-conv CNN; Random Forest on Gabor statistics; BLIP-2 + unnamed diffusion model</t>
        </is>
      </c>
      <c r="K7" s="38" t="n">
        <v>2025</v>
      </c>
      <c r="L7" s="36" t="inlineStr">
        <is>
          <t>Semantic segmentation mask keeps only sky pixels (removes buildings/trees/horizon); resize 200x200; multi-orientation Gabor filter bank with first 4 moments (mean, variance, skewness, kurtosis) per response; high-variance feature selection; minority-class augmentation (flip, contrast normalisation, Gaussian blur, +/-10 deg rotation)</t>
        </is>
      </c>
      <c r="M7" s="36" t="inlineStr">
        <is>
          <t>"A VLM layer (specifically, BLIP-2) acts as a semantic controller, where carefully engineered prompts condition the generative module to produce visually coherent and semantically aligned sky scenes that match target pollution levels" (Sec. 1). Paraphrase: sky-only AQI classification plus generative visualisation for public communication. Despite the title there is no temporal forecasting.</t>
        </is>
      </c>
      <c r="N7" s="33" t="inlineStr">
        <is>
          <t>Low</t>
        </is>
      </c>
      <c r="O7" s="33" t="inlineStr">
        <is>
          <t>No</t>
        </is>
      </c>
      <c r="P7" s="36" t="inlineStr">
        <is>
          <t>Classification (5 AQI classes) + image generation</t>
        </is>
      </c>
      <c r="Q7" s="33" t="inlineStr">
        <is>
          <t>Sky photos</t>
        </is>
      </c>
      <c r="R7" s="36" t="inlineStr">
        <is>
          <t>2025 IEEE/CVF International Conference on Computer Vision Workshops (ICCVW)</t>
        </is>
      </c>
      <c r="S7" s="39" t="inlineStr">
        <is>
          <t>No temporal forecasting despite title; private dataset with unnamed locations; no cross-location test; RF called final predictor but CNN scores best; user study described as both done and future work</t>
        </is>
      </c>
      <c r="T7" s="40" t="inlineStr">
        <is>
          <t>Open PDF</t>
        </is>
      </c>
    </row>
    <row r="8" ht="92.2" customHeight="1">
      <c r="A8" s="25" t="n">
        <v>7</v>
      </c>
      <c r="B8" s="26" t="inlineStr">
        <is>
          <t>Image Based Air Quality Level Assessment Using MobileNet And ResNet152V2</t>
        </is>
      </c>
      <c r="C8" s="27" t="inlineStr">
        <is>
          <t>10.1109/ICAAID68975.2025.11358145</t>
        </is>
      </c>
      <c r="D8" s="28" t="inlineStr">
        <is>
          <t>Prathik Kumaar B; A. Deepak</t>
        </is>
      </c>
      <c r="E8" s="28" t="inlineStr">
        <is>
          <t>Air Pollution Image Dataset from India and Nepal (Kaggle, doi 10.34740/KAGGLE/DS/3152196): 12,240 images at 224x224; 5 classes used (USG dropped without explanation); test set of 706 images implies an undisclosed balanced subset. https://www.kaggle.com/datasets/adarshrouniyar/air-pollution-image-dataset-from-india-and-nepal</t>
        </is>
      </c>
      <c r="F8" s="29" t="inlineStr">
        <is>
          <t>none found</t>
        </is>
      </c>
      <c r="G8" s="28" t="inlineStr">
        <is>
          <t>Python + Keras Applications; Ryzen 5 CPU, 8 GB RAM, 4 GB GPU; Adam lr 0.001, 50 epochs, batch 32, input 224x224; ImageNet init + fine-tune; 50% dropout; 7:2:1 split; 10 repeated runs, Levene + t-test in SPSS</t>
        </is>
      </c>
      <c r="H8" s="28" t="inlineStr">
        <is>
          <t>MobileNetV2 vs ResNet152V2 (literature numbers quoted, not re-run)</t>
        </is>
      </c>
      <c r="I8" s="28" t="inlineStr">
        <is>
          <t>Best run: MobileNetV2 acc 85%, P 88, R 85, F1 84; ResNet152V2 acc 79%; 10-run mean 83.65% vs 78.79% (t=16.85, p&lt;0.001); MobileNetV2 recall on 'Good' only 64/140</t>
        </is>
      </c>
      <c r="J8" s="28" t="inlineStr">
        <is>
          <t>MobileNetV2 (best); ResNet152V2 (both ImageNet)</t>
        </is>
      </c>
      <c r="K8" s="30" t="n">
        <v>2025</v>
      </c>
      <c r="L8" s="28" t="inlineStr">
        <is>
          <t>Resize 224x224 only; no augmentation, normalisation or hand-crafted features reported</t>
        </is>
      </c>
      <c r="M8" s="28" t="inlineStr">
        <is>
          <t>"MobileNetV2 achieved an accuracy of 85%, surpassing ResNet152V2's 79%" (Sec. IV). Paraphrase: a lightweight MobileNetV2 beats a much deeper ResNet152V2 by ~5 points (significant over 10 runs) and trains about twice as fast - supports using small backbones on this dataset.</t>
        </is>
      </c>
      <c r="N8" s="25" t="inlineStr">
        <is>
          <t>Low</t>
        </is>
      </c>
      <c r="O8" s="25" t="inlineStr">
        <is>
          <t>Yes</t>
        </is>
      </c>
      <c r="P8" s="28" t="inlineStr">
        <is>
          <t>Classification (5 AQI classes)</t>
        </is>
      </c>
      <c r="Q8" s="25" t="inlineStr">
        <is>
          <t>Smartphone</t>
        </is>
      </c>
      <c r="R8" s="28" t="inlineStr">
        <is>
          <t>2025 5th International Conference on Applied Automation and Industrial Diagnostics (ICAAID)</t>
        </is>
      </c>
      <c r="S8" s="31" t="inlineStr">
        <is>
          <t>Validation accuracy curve ~0.60-0.67 contradicts 85% test; undisclosed 706-image test subset; 5 vs 6 classes; effect sizes outside their own CIs; copy-paste residue about coral health; comparisons to other datasets</t>
        </is>
      </c>
      <c r="T8" s="32" t="inlineStr">
        <is>
          <t>Open PDF</t>
        </is>
      </c>
    </row>
    <row r="9" ht="117.4" customHeight="1">
      <c r="A9" s="33" t="n">
        <v>8</v>
      </c>
      <c r="B9" s="34" t="inlineStr">
        <is>
          <t>Image-based Air Pollution Estimation using Deep Learning</t>
        </is>
      </c>
      <c r="C9" s="35" t="inlineStr">
        <is>
          <t>10.1109/ICCCA66364.2025.11325373</t>
        </is>
      </c>
      <c r="D9" s="36" t="inlineStr">
        <is>
          <t>Kashish Verma; Girisha Sahdev; Muskan Joshi; Ishika; Priyanka Behera</t>
        </is>
      </c>
      <c r="E9" s="36" t="inlineStr">
        <is>
          <t>Air Pollution Image Dataset from India and Nepal (Kaggle, named in Fig. 2, no citation): 12,240 photos, Feb-Mar 2023, 8 sites (ITO Delhi, Dimapur, Spice Garden Bengaluru, Knowledge Park III, New Indian Town Faridabad, Borivali East Mumbai, Oragadam, Biratnagar Nepal); 6 AQI classes (0-50 ... 301-500). https://www.kaggle.com/datasets/adarshrouniyar/air-pollution-image-dataset-from-india-and-nepal</t>
        </is>
      </c>
      <c r="F9" s="37" t="inlineStr">
        <is>
          <t>none found</t>
        </is>
      </c>
      <c r="G9" s="36" t="inlineStr">
        <is>
          <t>Keras/TensorFlow, Python; Adam (CE loss); 50 epochs, batch 8; CNN input 112x112x3; class weights; split ratio/method not reported; hardware not reported</t>
        </is>
      </c>
      <c r="H9" s="36" t="inlineStr">
        <is>
          <t>Custom CNN from scratch (Conv2D+BN+ReLU, SeparableConv2D, MaxPool, Dense+Dropout, softmax) vs HOG features + 1-layer LSTM; literature numbers quoted, not re-run</t>
        </is>
      </c>
      <c r="I9" s="36" t="inlineStr">
        <is>
          <t>6-class test acc: CNN 96.49% (F1 0.9666, AUC 0.9991); HOG+LSTM 85.87% (train 99.25%, F1 0.8585)</t>
        </is>
      </c>
      <c r="J9" s="36" t="inlineStr">
        <is>
          <t>Custom CNN (no pretraining); HOG + LSTM</t>
        </is>
      </c>
      <c r="K9" s="38" t="n">
        <v>2025</v>
      </c>
      <c r="L9" s="36" t="inlineStr">
        <is>
          <t>Resize 112x112; ImageDataGenerator augmentation (zoom, flip, shear); one-vs-all class balancing + class weights; grayscale + HOG features for the LSTM branch</t>
        </is>
      </c>
      <c r="M9" s="36" t="inlineStr">
        <is>
          <t>"These algorithms gave high testing accuracies of 96.49% and 85.87%, respectively" (Abstract). Paraphrase: a small from-scratch CNN far outperforms HOG+LSTM on the India/Nepal set; the 96.5% is well above what other papers report on the same data (79-95%), so treat with caution.</t>
        </is>
      </c>
      <c r="N9" s="33" t="inlineStr">
        <is>
          <t>Low</t>
        </is>
      </c>
      <c r="O9" s="33" t="inlineStr">
        <is>
          <t>Yes</t>
        </is>
      </c>
      <c r="P9" s="36" t="inlineStr">
        <is>
          <t>Classification (6 AQI classes)</t>
        </is>
      </c>
      <c r="Q9" s="33" t="inlineStr">
        <is>
          <t>Smartphone</t>
        </is>
      </c>
      <c r="R9" s="36" t="inlineStr">
        <is>
          <t>2025 IEEE 7th International Conference on Computing, Communication and Automation (ICCCA)</t>
        </is>
      </c>
      <c r="S9" s="39" t="inlineStr">
        <is>
          <t>Balancing/augmentation shown before the data split (leakage); split never stated; sensitivity != recall in same table; LSTM F1 inconsistent with P/R; claims to beat ML models that were never evaluated</t>
        </is>
      </c>
      <c r="T9" s="40" t="inlineStr">
        <is>
          <t>Open PDF</t>
        </is>
      </c>
    </row>
    <row r="10" ht="142.6" customHeight="1">
      <c r="A10" s="25" t="n">
        <v>9</v>
      </c>
      <c r="B10" s="26" t="inlineStr">
        <is>
          <t>Location Generalizability of Image-Based Air Quality Models</t>
        </is>
      </c>
      <c r="C10" s="27" t="inlineStr">
        <is>
          <t>10.1109/WACVW65960.2025.00131</t>
        </is>
      </c>
      <c r="D10" s="28" t="inlineStr">
        <is>
          <t>Eleanor Byler; Christian Svinth; Kirsten Chojnicki</t>
        </is>
      </c>
      <c r="E10" s="28" t="inlineStr">
        <is>
          <t>(1) NPS-AQI (public, PNNL DataHub https://data.pnnl.gov/group/nodes/dataset/33967, DOI 10.25584/2468701): ~146.8k webcam images (1600x1200, every 15 min) from 17 sites in 15 US national parks, 2016-2023; AQI from NPS GPMP O3 (SO2 at Hawai'i Volcanoes); 4 EPA classes used (N=140,560). (2) Volcanic Plume SO2: 2,102 Flickr images of 16 volcanoes, SO2 mass from the Multi-Satellite Volcanic SO2 L4 database, 3 classes</t>
        </is>
      </c>
      <c r="F10" s="29" t="inlineStr">
        <is>
          <t>none found</t>
        </is>
      </c>
      <c r="G10" s="28" t="inlineStr">
        <is>
          <t>Framework not reported; 1x V100; SGD lr 1e-2, momentum 0.9, wd 1e-4, batch 128, ~160-180 epochs, reduce-on-plateau; input 224x224; regression with Huber loss on min-max AQI; 70/15/15 stratified; leave-one-park-out (ACAD/SEKI/YOSE); class-balanced sampling</t>
        </is>
      </c>
      <c r="H10" s="28" t="inlineStr">
        <is>
          <t>ResNet101 baseline; ResNet101 + GeoCLIP location embedding; ResNet101 + SatCLIP location embedding (frozen, concatenated); regression versions of all three</t>
        </is>
      </c>
      <c r="I10" s="28" t="inlineStr">
        <is>
          <t>AQI 4-class acc seen sites: baseline 80.3%, +GeoCLIP 82.1%, +SatCLIP 84.5%; unseen parks mean: baseline 49.8% (65.6/53.9/30.0), SatCLIP 60.6%; 'Unhealthy' class 0% at unseen sites. AQI regression MAE seen 17.8 (baseline) / 14.1 (GeoCLIP). SO2 3-class: seen 82.0% baseline; unseen volcanoes 25.4% baseline vs 47.0% SatCLIP</t>
        </is>
      </c>
      <c r="J10" s="28" t="inlineStr">
        <is>
          <t>ResNet101 (ImageNet) + frozen SatCLIP (ResNet18, L=10) or GeoCLIP location encoders</t>
        </is>
      </c>
      <c r="K10" s="30" t="n">
        <v>2025</v>
      </c>
      <c r="L10" s="28" t="inlineStr">
        <is>
          <t>Daylight-only images; random horizontal flip; random square crop &gt;=25% area; resize 224; colour jitter p=0.3 (+/-40%) - jitter at p=1.0 hurt because colour carries the physical signal; undersampling of clean days; no hand-crafted haze features or sky masking</t>
        </is>
      </c>
      <c r="M10" s="28" t="inlineStr">
        <is>
          <t>"The best performing models achieve &gt;80% accuracy when evaluating unseen imagery at sites seen during training, but we find significant drops in performance when evaluating imagery from unseen sites, at best 65%" (Abstract). Also: "color changes in the image reflect meaningful physical processes (e.g., reddening due to particulate scattering)" (Sec. 4.4). Paraphrase: image AQ models largely memorise site-specific cues; location embeddings (SatCLIP) partly help. Key reference for cross-location evaluation design.</t>
        </is>
      </c>
      <c r="N10" s="25" t="inlineStr">
        <is>
          <t>High</t>
        </is>
      </c>
      <c r="O10" s="25" t="inlineStr">
        <is>
          <t>Yes</t>
        </is>
      </c>
      <c r="P10" s="28" t="inlineStr">
        <is>
          <t>Classification (AQI 4 classes, SO2 3 classes) + regression (AQI)</t>
        </is>
      </c>
      <c r="Q10" s="25" t="inlineStr">
        <is>
          <t>Fixed camera</t>
        </is>
      </c>
      <c r="R10" s="28" t="inlineStr">
        <is>
          <t>2025 IEEE/CVF Winter Conference on Applications of Computer Vision Workshops (WACVW), CV4EO</t>
        </is>
      </c>
      <c r="S10" s="31" t="inlineStr">
        <is>
          <t>AQI labels are O3-based, not PM; text says geolocation 'always improves' but GeoCLIP is below baseline on 2 parks; contribution list quotes GeoCLIP MAE as headline</t>
        </is>
      </c>
      <c r="T10" s="32" t="inlineStr">
        <is>
          <t>Open PDF</t>
        </is>
      </c>
    </row>
    <row r="11" ht="104.8" customHeight="1">
      <c r="A11" s="33" t="n">
        <v>10</v>
      </c>
      <c r="B11" s="34" t="inlineStr">
        <is>
          <t>Roadside Tree Image-Based Air Quality Estimation of Gurugram City, Haryana, India</t>
        </is>
      </c>
      <c r="C11" s="35" t="inlineStr">
        <is>
          <t>10.1109/ICCSAI64074.2025.11064176</t>
        </is>
      </c>
      <c r="D11" s="36" t="inlineStr">
        <is>
          <t>Neelam Yadav; Sunil K Singh; Dinesh Sharma</t>
        </is>
      </c>
      <c r="E11" s="36" t="inlineStr">
        <is>
          <t>IAQID - Image Air Quality Index Database (own, no public link): 1,095 smartphone photos of roadside trees at 3 Gurugram sites (high/medium/low traffic), one photo per day per site, 1 Jan-31 Dec 2024; AQI labels from nearest CPCB monitoring station; 3 AQI classes</t>
        </is>
      </c>
      <c r="F11" s="37" t="inlineStr">
        <is>
          <t>none found</t>
        </is>
      </c>
      <c r="G11" s="36" t="inlineStr">
        <is>
          <t>LIBSVM classifier; 50/50 random train/test split per class; framework/hardware not reported</t>
        </is>
      </c>
      <c r="H11" s="36" t="inlineStr">
        <is>
          <t>SVM (LIBSVM) on individual hand-crafted features: HOG, LBP, SIFT, RGB histogram, entropy, contrast, extinction coefficient (also transmission and sky colour described)</t>
        </is>
      </c>
      <c r="I11" s="36" t="inlineStr">
        <is>
          <t>3-class accuracy: extinction coefficient 0.68 (best), contrast 0.55, entropy 0.43, RGB histogram 0.29, HOG 0.17, LBP 0.16, SIFT 0.09</t>
        </is>
      </c>
      <c r="J11" s="36" t="inlineStr">
        <is>
          <t>SVM (no deep model)</t>
        </is>
      </c>
      <c r="K11" s="38" t="n">
        <v>2025</v>
      </c>
      <c r="L11" s="36" t="inlineStr">
        <is>
          <t>Medium transmission via dark-channel scene model; extinction coefficient (visibility estimation); RMS contrast; sky colour (sky-region detection + LAB colour components); HOG; LBP; SIFT; RGB histogram; entropy</t>
        </is>
      </c>
      <c r="M11" s="36" t="inlineStr">
        <is>
          <t>"meteorological features perform better than conventional hand-crafted picture features... The extinction coefficient has a substantial association with particulate matter concentration" (Sec. VIII). Paraphrase: physics-motivated haze features (extinction coefficient, contrast) beat generic descriptors (HOG/LBP/SIFT) on roadside-tree photos, but absolute accuracy is low (68%).</t>
        </is>
      </c>
      <c r="N11" s="33" t="inlineStr">
        <is>
          <t>Low</t>
        </is>
      </c>
      <c r="O11" s="33" t="inlineStr">
        <is>
          <t>No</t>
        </is>
      </c>
      <c r="P11" s="36" t="inlineStr">
        <is>
          <t>Classification (3 AQI classes)</t>
        </is>
      </c>
      <c r="Q11" s="33" t="inlineStr">
        <is>
          <t>Smartphone</t>
        </is>
      </c>
      <c r="R11" s="36" t="inlineStr">
        <is>
          <t>2025 3rd International Conference on Communication, Security, and Artificial Intelligence (ICCSAI)</t>
        </is>
      </c>
      <c r="S11" s="39" t="inlineStr">
        <is>
          <t>Several features below 3-class chance (SIFT 0.09, LBP 0.16, HOG 0.17); method citations point to unrelated papers (e.g., transmission cites a healthcare-privacy paper); random 50/50 split of daily same-scene photos; dataset not released</t>
        </is>
      </c>
      <c r="T11" s="40" t="inlineStr">
        <is>
          <t>Open PDF</t>
        </is>
      </c>
    </row>
    <row r="12" ht="155.2" customHeight="1">
      <c r="A12" s="25" t="n">
        <v>11</v>
      </c>
      <c r="B12" s="26" t="inlineStr">
        <is>
          <t>SmartCamAirDetect: A Contrastive Approach for Probabilistic Ambient Air Pollution Estimation With Limited Images for Smart City Development</t>
        </is>
      </c>
      <c r="C12" s="27" t="inlineStr">
        <is>
          <t>10.1109/ACCESS.2025.3583794</t>
        </is>
      </c>
      <c r="D12" s="28" t="inlineStr">
        <is>
          <t>Yang Han; Victor O. K. Li; Jacqueline C. K. Lam; Shiguang Song; Tingyu Mo</t>
        </is>
      </c>
      <c r="E12" s="28" t="inlineStr">
        <is>
          <t>Hong Kong Transport Department traffic snapshot images (public, https://data.gov.hk/en-data/dataset/hk-td-tis_2-traffic-snapshot-images) paired with hourly HK EPD station readings (PM2.5, PM10, NO2, O3; https://www.aqhi.gov.hk); 10 cameras within 500 m of a station; 1 Jun 2021-1 Jan 2022; target-camera training sets of 3000/1000/500/200/100/50 images</t>
        </is>
      </c>
      <c r="F12" s="29" t="inlineStr">
        <is>
          <t>none found (acknowledgment mentions source code, no link)</t>
        </is>
      </c>
      <c r="G12" s="28" t="inlineStr">
        <is>
          <t>Framework/hardware not reported; Adam, MSE loss, batch 32, 200 epochs, lr 5e-5; images 112x112; time window 25 frames; probabilistic output by comparing each target image with 1000 random labelled support-camera images</t>
        </is>
      </c>
      <c r="H12" s="28" t="inlineStr">
        <is>
          <t>SmartCamAirDetect / ContraEst (ResNet18 extractor + scenery-eliminator MLP + difference-estimator MLP); baselines RN18-MLP, VGG16-MLP, RN50-MLP, RN18-ViT, RN18-GRU, RN18-LSTM, RN50-SimSiam; ResNet18 deterministic baseline; ablation with/without scenery</t>
        </is>
      </c>
      <c r="I12" s="28" t="inlineStr">
        <is>
          <t>vs ResNet18 (avg over pollutants and training sizes): MAE -11.61%, SMAPE -14.20%, r +50.97%; scenery adds PBL -5.38%, Winkler -5.81%. PM2.5 (from Fig. 5): ~7.6 vs ~8.4 µg/m³ MAE at 3000 images, ~9.8 vs ~12.2 at 50 images; PM2.5 pinball loss 3.51-&gt;3.40 (3000) and 4.92-&gt;4.35 (50). Backbone table PM2.5 MAE: RN18-LSTM 7.90 best. Wilcoxon p&lt;0.05</t>
        </is>
      </c>
      <c r="J12" s="28" t="inlineStr">
        <is>
          <t>ResNet18 (pretrained) shared extractor + 2 MLPs (contrastive image pairs)</t>
        </is>
      </c>
      <c r="K12" s="30" t="n">
        <v>2025</v>
      </c>
      <c r="L12" s="28" t="inlineStr">
        <is>
          <t>Scenery synthesis: per-pixel, per-RGB-channel median over many unlabelled frames of each fixed camera (median background) to remove cars/people/lighting; learned scenery-elimination MLP; resize 112x112; no dark channel, sky crop or augmentation</t>
        </is>
      </c>
      <c r="M12" s="28" t="inlineStr">
        <is>
          <t>"The contrastive approach can effectively learn robust representations by focusing on the differences in pollution levels between image pairs rather than absolute pollution levels, avoiding overfitting due to the limited sample size" (Sec. I). Paraphrase: predicts pollution differences between image pairs and subtracts a median background so label-poor cameras can borrow from well-labelled ones; gives uncertainty, not just a point estimate. Limitation: "assumes that the background scenery captured by stationary cameras remains relatively stable" (Sec. VII).</t>
        </is>
      </c>
      <c r="N12" s="25" t="inlineStr">
        <is>
          <t>High</t>
        </is>
      </c>
      <c r="O12" s="25" t="inlineStr">
        <is>
          <t>Yes</t>
        </is>
      </c>
      <c r="P12" s="28" t="inlineStr">
        <is>
          <t>Probabilistic regression (PM2.5, PM10, NO2, O3)</t>
        </is>
      </c>
      <c r="Q12" s="25" t="inlineStr">
        <is>
          <t>Fixed camera</t>
        </is>
      </c>
      <c r="R12" s="28" t="inlineStr">
        <is>
          <t>IEEE Access, vol. 13, pp. 121073-121085</t>
        </is>
      </c>
      <c r="S12" s="31" t="inlineStr">
        <is>
          <t>Absolute PM2.5 numbers only in a chart; no Bayesian/ensemble probabilistic baselines; O3 not significant at &lt;=200 images; fixed cameras only</t>
        </is>
      </c>
      <c r="T12" s="32" t="inlineStr">
        <is>
          <t>Open PDF</t>
        </is>
      </c>
    </row>
    <row r="13" ht="180.4" customHeight="1">
      <c r="A13" s="33" t="n">
        <v>12</v>
      </c>
      <c r="B13" s="34" t="inlineStr">
        <is>
          <t>A Review on Image Quality Assessment for Air Quality Index Estimation</t>
        </is>
      </c>
      <c r="C13" s="35" t="inlineStr">
        <is>
          <t>10.1109/WINCOM62286.2024.10656531</t>
        </is>
      </c>
      <c r="D13" s="36" t="inlineStr">
        <is>
          <t>Khadija Marzagui; Abdellatif Dahmouni; Abdelkaher Ait Abdelouahad; Ahmed Drissi El Maliani</t>
        </is>
      </c>
      <c r="E13" s="36" t="inlineStr">
        <is>
          <t>Surveyed: Zhan et al. haze DB (287 imgs, Hefei, MOS + met/AQ data); Yang et al. (87 smartphone imgs, China); AQID (750 imgs, Beijing, used by PPPC - 'most popular'); AQPDBJUT (1,500 imgs, Beijing); AQPDCITY (1,500 imgs, Beijing); Nilesh et al. (5,048 traffic imgs, Hyderabad); RHID-AQI (301 imgs, China)</t>
        </is>
      </c>
      <c r="F13" s="37" t="inlineStr">
        <is>
          <t>n/a (review)</t>
        </is>
      </c>
      <c r="G13" s="36" t="inlineStr">
        <is>
          <t>n/a (review, no experiments)</t>
        </is>
      </c>
      <c r="H13" s="36" t="inlineStr">
        <is>
          <t>Surveyed: MIFF (entropy/colour/depth + SVR); Wang et al. GBDT with transmission/Gabor/LBP/humidity; AQE-Net (ResNet18 + self-context attention); Ma et al. CNN + SVR + depth; Zhan no-reference IQA; Yang &amp; Chen dark-channel transmission + humidity regression; Gu et al. PPPC; Yue et al. gradient similarity + Weibull saturation; Xia IQA-feature fusion (NIQMC, BIQME, FISH, ARISM, NIQE, ASIQE, PPPC, GSWD); Sun et al. hue/saturation/colourfulness/NSS; Nilesh YOLOv5 vehicle count + BRISQUE + weather; Chu fastDBCP dark/bright channel ratio</t>
        </is>
      </c>
      <c r="I13" s="36" t="inlineStr">
        <is>
          <t>Quoted from others (not comparable): Zhan SROCC 0.90; Yang R 0.92, MAE 5.72; PPPC on AQID LCC 0.808, RMSE 51.88; Yue SRCC 0.782; Xia RMSE 40.2 (AQPDBJUT) / 91.2 (AQPDCITY); Sun SRCC 0.818; Nilesh RF acc 0.82; fastDBCP PCC 0.91</t>
        </is>
      </c>
      <c r="J13" s="36" t="inlineStr">
        <is>
          <t>n/a (review)</t>
        </is>
      </c>
      <c r="K13" s="38" t="n">
        <v>2024</v>
      </c>
      <c r="L13" s="36" t="inlineStr">
        <is>
          <t>Surveyed: dark-channel transmission map; dark/bright channel ratio; entropy and NSS naturalness; gradient similarity; saturation-map Weibull statistics; hue, saturation, colourfulness, contrast; Gabor and LBP texture; ROI; depth; blur scores; IQA metrics BRISQUE, NIQE, NIQMC, BIQME, FISH, ARISM, ASIQE, GSWD, CEIQ, SSIM, PSNR</t>
        </is>
      </c>
      <c r="M13" s="36" t="inlineStr">
        <is>
          <t>"the lack of diversity in training data can lead to models that do not generalize well to different conditions and contexts" (Sec. III.C). Paraphrase: frames image-based AQI estimation as an image-quality-assessment problem and catalogues hand-crafted IQA/NSS features, mostly evaluated on small Beijing datasets. Good source for the hand-crafted-feature baseline list.</t>
        </is>
      </c>
      <c r="N13" s="33" t="inlineStr">
        <is>
          <t>Review</t>
        </is>
      </c>
      <c r="O13" s="33" t="inlineStr">
        <is>
          <t>n/a</t>
        </is>
      </c>
      <c r="P13" s="36" t="inlineStr">
        <is>
          <t>Review (image quality assessment for AQI)</t>
        </is>
      </c>
      <c r="Q13" s="33" t="inlineStr">
        <is>
          <t>Review</t>
        </is>
      </c>
      <c r="R13" s="36" t="inlineStr">
        <is>
          <t>2024 11th International Conference on Wireless Networks and Mobile Communications (WINCOM)</t>
        </is>
      </c>
      <c r="S13" s="39" t="inlineStr">
        <is>
          <t>Table I says 6 AQI categories but lists 5; years in text differ from Table III; dataset attribution for Nilesh/RHID-AQI contradictory; correlations and RMSE both called 'precision'</t>
        </is>
      </c>
      <c r="T13" s="40" t="inlineStr">
        <is>
          <t>Open PDF</t>
        </is>
      </c>
    </row>
    <row r="14" ht="79.59999999999999" customHeight="1">
      <c r="A14" s="25" t="n">
        <v>13</v>
      </c>
      <c r="B14" s="26" t="inlineStr">
        <is>
          <t>Air Quality Level Detection Based on Image Recognition</t>
        </is>
      </c>
      <c r="C14" s="27" t="inlineStr">
        <is>
          <t>10.1109/ICTech63197.2024.00064</t>
        </is>
      </c>
      <c r="D14" s="28" t="inlineStr">
        <is>
          <t>Di Zhang; Bin Yang; Xuedong Liu; JiXin Jin; ChunMei Song</t>
        </is>
      </c>
      <c r="E14" s="28" t="inlineStr">
        <is>
          <t>Own, not public: real-time camera of one city monitoring station (city unnamed), 3 Jul 2018-23 Feb 2023; labels = station air-quality class; 2,622 images after cleaning (437 per class); 6 Chinese AQI classes; split 6:2:2</t>
        </is>
      </c>
      <c r="F14" s="29" t="inlineStr">
        <is>
          <t>none found</t>
        </is>
      </c>
      <c r="G14" s="28" t="inlineStr">
        <is>
          <t>PyTorch 2.0.1 on Apple M2 (16 GB), macOS 13.4.1; Adam lr 1e-5, regularisation 1e-3, batch 16, cross-entropy, ~800 iterations; input size/pretraining not reported</t>
        </is>
      </c>
      <c r="H14" s="28" t="inlineStr">
        <is>
          <t>Improved ResNet18 (inverted-bottleneck residual module + GeLU + ParNet-Attention); ablation ResNet18, +GeLU, +IB+GeLU; baselines ConvNeXt-T, NFNet, VanillaNet-5, VanillaNet-13</t>
        </is>
      </c>
      <c r="I14" s="28" t="inlineStr">
        <is>
          <t>6-class test acc 90.65% (9.16M params); ResNet18 87.79%; ConvNeXt-T 89.69%; NFNet 89.50%; VanillaNet-13 88.86%</t>
        </is>
      </c>
      <c r="J14" s="28" t="inlineStr">
        <is>
          <t>ResNet18</t>
        </is>
      </c>
      <c r="K14" s="30" t="n">
        <v>2024</v>
      </c>
      <c r="L14" s="28" t="inlineStr">
        <is>
          <t>Unspecified cleaning/preprocessing; histogram equalisation used only for visualisation; no augmentation or hand-crafted features reported</t>
        </is>
      </c>
      <c r="M14" s="28" t="inlineStr">
        <is>
          <t>"the current air quality detection model only considers air quality level detection in a single scenario" (Sec. III). Paraphrase: a lighter ResNet18 variant classifies 6 AQI levels from one station camera at 90.65%, beating ConvNeXt-T with ~1/3 of its parameters.</t>
        </is>
      </c>
      <c r="N14" s="25" t="inlineStr">
        <is>
          <t>Low</t>
        </is>
      </c>
      <c r="O14" s="25" t="inlineStr">
        <is>
          <t>No</t>
        </is>
      </c>
      <c r="P14" s="28" t="inlineStr">
        <is>
          <t>Classification (6 AQI levels)</t>
        </is>
      </c>
      <c r="Q14" s="25" t="inlineStr">
        <is>
          <t>Fixed camera</t>
        </is>
      </c>
      <c r="R14" s="28" t="inlineStr">
        <is>
          <t>2024 13th International Conference of Information and Communication Technology (ICTech)</t>
        </is>
      </c>
      <c r="S14" s="31" t="inlineStr">
        <is>
          <t>Hyperparameters tuned on the test set; random 6:2:2 split of one fixed camera (near-duplicate leakage); balanced 437/class implies undisclosed subsampling; parameter-reduction claim inconsistent with table; ablation gains differ text vs table</t>
        </is>
      </c>
      <c r="T14" s="32" t="inlineStr">
        <is>
          <t>Open PDF</t>
        </is>
      </c>
    </row>
    <row r="15" ht="117.4" customHeight="1">
      <c r="A15" s="33" t="n">
        <v>14</v>
      </c>
      <c r="B15" s="34" t="inlineStr">
        <is>
          <t>Can an Image Tell the Tale: Looking Beyond the Haze to Determine PM2.5 Concentration</t>
        </is>
      </c>
      <c r="C15" s="35" t="inlineStr">
        <is>
          <t>10.1109/IJCNN60899.2024.10651248</t>
        </is>
      </c>
      <c r="D15" s="36" t="inlineStr">
        <is>
          <t>Sagarnil Chakraborty; Sarbani Palit; Harsh Bhandari</t>
        </is>
      </c>
      <c r="E15" s="36" t="inlineStr">
        <is>
          <t>(1) Own ISI Kolkata dataset (not public): fixed Dahua 4MP PTZ CCTV camera on ISI terrace, 6 view directions, Jun 2021-Jan 2023; single-view 3,620 train / 905 test, multi-view 3,375 / 844; labels quarter-hourly PM2.5 from CPCB station at Rabindra Bharati University (&lt;3 km). (2) Shanghai dataset (Liu et al. 2016, PLoS ONE): 1,882 images (1,505/377)</t>
        </is>
      </c>
      <c r="F15" s="37" t="inlineStr">
        <is>
          <t>none found</t>
        </is>
      </c>
      <c r="G15" s="36" t="inlineStr">
        <is>
          <t>Framework/hardware not reported; classical regressors (no deep training); ~80/20 split, split method not reported</t>
        </is>
      </c>
      <c r="H15" s="36" t="inlineStr">
        <is>
          <t>SSIM features + cyclic date/time -&gt; Extra Trees Regressor (best), Random Forest, SVR; RoI-based vs entire-image variants; baselines PPPC (Gu et al. 2019), Liu et al. 2016 PCA-SVR and SBFS-SVR; dehazer comparison Pyramid Fusion vs Colour Attenuation Prior</t>
        </is>
      </c>
      <c r="I15" s="36" t="inlineStr">
        <is>
          <t>Kolkata single-view RoI + Pyramid Fusion: ETR R² 0.93, PCC 0.97, RMSE 12.56; RFR R² 0.92; SVR R² 0.79; with CAP dehazing R² 0.90. Entire-image ETR R² 0.87 (single-view), 0.80 (multi-view). PPPC baseline RMSE ~139. Shanghai (retrained): ETR R² 0.87, RMSE 10.24 vs Liu 0.76</t>
        </is>
      </c>
      <c r="J15" s="36" t="inlineStr">
        <is>
          <t>Extra Trees Regressor (no deep backbone)</t>
        </is>
      </c>
      <c r="K15" s="38" t="n">
        <v>2024</v>
      </c>
      <c r="L15" s="36" t="inlineStr">
        <is>
          <t>Dehaze each frame with Pyramid Fusion (white-balanced + contrast-enhanced CIELab images, weight maps for colourfulness, log-Gabor saliency, entropy, visibility, chromaticity, 7-level Laplacian/Gaussian pyramid fusion); feature = SSIM between hazy and dehazed image on 2 manual RoIs (near/far object) or full SSIM map; cyclic sin/cos day, month, hour</t>
        </is>
      </c>
      <c r="M15" s="36" t="inlineStr">
        <is>
          <t>"the Structural Similarity Index Measure (SSIM) is employed as a full-reference metric after dehazing the input image" (Sec. 3.B). Paraphrase: haze-induced visibility loss as a PM2.5 proxy - dehaze to create a pseudo-clear reference, then measure SSIM on near/far regions, plus seasonal/diurnal features.</t>
        </is>
      </c>
      <c r="N15" s="33" t="inlineStr">
        <is>
          <t>Medium</t>
        </is>
      </c>
      <c r="O15" s="33" t="inlineStr">
        <is>
          <t>No</t>
        </is>
      </c>
      <c r="P15" s="36" t="inlineStr">
        <is>
          <t>Regression (PM2.5)</t>
        </is>
      </c>
      <c r="Q15" s="33" t="inlineStr">
        <is>
          <t>Fixed camera</t>
        </is>
      </c>
      <c r="R15" s="36" t="inlineStr">
        <is>
          <t>2024 International Joint Conference on Neural Networks (IJCNN)</t>
        </is>
      </c>
      <c r="S15" s="39" t="inlineStr">
        <is>
          <t>Split method unreported for one fixed camera with time features (temporal leakage risk); no image-only vs time-only ablation; manual RoIs; Shanghai test is retraining, not transfer; uncalibrated PPPC baseline</t>
        </is>
      </c>
      <c r="T15" s="40" t="inlineStr">
        <is>
          <t>Open PDF</t>
        </is>
      </c>
    </row>
    <row r="16" ht="79.59999999999999" customHeight="1">
      <c r="A16" s="25" t="n">
        <v>15</v>
      </c>
      <c r="B16" s="26" t="inlineStr">
        <is>
          <t>Evaluation of Deep Learning Approaches for Air Quality Analysis using an Image Dataset</t>
        </is>
      </c>
      <c r="C16" s="27" t="inlineStr">
        <is>
          <t>10.1109/ICOICI62503.2024.10696429</t>
        </is>
      </c>
      <c r="D16" s="28" t="inlineStr">
        <is>
          <t>Rajanish Kumar Kaushal; Himani Pandey; G. Kalaiarasi; Sujata Arya; Devyani Rawat; Natrayan L</t>
        </is>
      </c>
      <c r="E16" s="28" t="inlineStr">
        <is>
          <t>Own, not public: images scraped from a Beijing tourist real-time weather photo page (tour-beijing.com), 2013-2023; labels hourly PM2.5 from the US Embassy Beijing; 3 classes (Good &lt;75, Moderate 75-115, Severe &gt;115); 591 images (Sec. IV.A) vs 900 (Table 1/conclusion)</t>
        </is>
      </c>
      <c r="F16" s="29" t="inlineStr">
        <is>
          <t>none found</t>
        </is>
      </c>
      <c r="G16" s="28" t="inlineStr">
        <is>
          <t>Framework/hardware/optimizer not reported; 15 epochs; input 224x224 rescaled /255; split 7:2:1 (~90 test images); pretrained VGG19 (ResNet-50 pretraining not stated)</t>
        </is>
      </c>
      <c r="H16" s="28" t="inlineStr">
        <is>
          <t>ResNet-50 vs VGG-19 (no other baselines)</t>
        </is>
      </c>
      <c r="I16" s="28" t="inlineStr">
        <is>
          <t>Test acc ResNet-50 97.87% (45.02 s for 90 images), VGG-19 94.12%; validation ResNet-50 0.923, VGG-19 0.906</t>
        </is>
      </c>
      <c r="J16" s="28" t="inlineStr">
        <is>
          <t>ResNet-50 (best); VGG-19</t>
        </is>
      </c>
      <c r="K16" s="30" t="n">
        <v>2024</v>
      </c>
      <c r="L16" s="28" t="inlineStr">
        <is>
          <t>Resize 224x224 and /255 rescaling only; no augmentation, no hand-crafted features, no sky ROI</t>
        </is>
      </c>
      <c r="M16" s="28" t="inlineStr">
        <is>
          <t>"We created a database of 591 images from a Beijing tourist web page" (Sec. IV.A). Paraphrase: fine-tunes VGG-19 and ResNet-50 on web-scraped Beijing photos with US-Embassy PM2.5 labels (3 classes). Use only as an example of weak practice.</t>
        </is>
      </c>
      <c r="N16" s="25" t="inlineStr">
        <is>
          <t>Low</t>
        </is>
      </c>
      <c r="O16" s="25" t="inlineStr">
        <is>
          <t>No</t>
        </is>
      </c>
      <c r="P16" s="28" t="inlineStr">
        <is>
          <t>Classification (3 PM2.5 classes)</t>
        </is>
      </c>
      <c r="Q16" s="25" t="inlineStr">
        <is>
          <t>Web-scraped</t>
        </is>
      </c>
      <c r="R16" s="28" t="inlineStr">
        <is>
          <t>2024 2nd International Conference on Intelligent Cyber Physical Systems and Internet of Things (ICoICI)</t>
        </is>
      </c>
      <c r="S16" s="31" t="inlineStr">
        <is>
          <t>Image count 591 vs 900; 90-image test set and 97.87% is not achievable on 90 images; test acc above best val acc; single embassy monitor labels; non-standard class thresholds; broken/shifted citations</t>
        </is>
      </c>
      <c r="T16" s="32" t="inlineStr">
        <is>
          <t>Open PDF</t>
        </is>
      </c>
    </row>
    <row r="17" ht="117.4" customHeight="1">
      <c r="A17" s="33" t="n">
        <v>16</v>
      </c>
      <c r="B17" s="34" t="inlineStr">
        <is>
          <t>Integrating Deep Learning Features Extraction and Image Processing for Visual Pattern Analysis in Air Quality Index (AQI) Classification</t>
        </is>
      </c>
      <c r="C17" s="35" t="inlineStr">
        <is>
          <t>10.1109/SCOReD64708.2024.10872648</t>
        </is>
      </c>
      <c r="D17" s="36" t="inlineStr">
        <is>
          <t>Umi Najiah Ahmad Razimi; Azliza Mohd Ali; Rozianawaty Osman</t>
        </is>
      </c>
      <c r="E17" s="36" t="inlineStr">
        <is>
          <t>India/Nepal image set (12,240 daytime images; cited via Eff-AQI, Utomo et al. 2023): 8 named sites (ITO Delhi, Dimapur, Spice Garden Bengaluru, Knowledge Park III Greater Noida, New Ind Town Faridabad, Borivali East Mumbai, Oragadam, Biratnagar Nepal); labels from image metadata (AQI + pollutants); 6 classes. Same as https://www.kaggle.com/datasets/adarshrouniyar/air-pollution-image-dataset-from-india-and-nepal</t>
        </is>
      </c>
      <c r="F17" s="37" t="inlineStr">
        <is>
          <t>none found</t>
        </is>
      </c>
      <c r="G17" s="36" t="inlineStr">
        <is>
          <t>Keras (implied by ImageDataGenerator/preprocess_input), Python; Adam lr 1e-4, L2 0.01, batch 16, up to 300 epochs with early stopping; input 224x224; VGG16 frozen, features cached; 80/20 train/val, no separate test set</t>
        </is>
      </c>
      <c r="H17" s="36" t="inlineStr">
        <is>
          <t>Model 2 (hybrid): VGG16 features (25,088-d) + LBP histogram (26-d) + mean RGB (3-d), each through dense branches, then FC classifier; Model 1 baseline: VGG16 features only</t>
        </is>
      </c>
      <c r="I17" s="36" t="inlineStr">
        <is>
          <t>6-class validation accuracy: Model 2 0.93 vs Model 1 0.90; Model 2 per-class F1 0.90-0.94</t>
        </is>
      </c>
      <c r="J17" s="36" t="inlineStr">
        <is>
          <t>VGG16 (ImageNet, frozen)</t>
        </is>
      </c>
      <c r="K17" s="38" t="n">
        <v>2024</v>
      </c>
      <c r="L17" s="36" t="inlineStr">
        <is>
          <t>Resize 224x224; rescale 1/255 plus VGG preprocess_input; augmentation for minority classes (rotation 30 deg, width/height shift 0.3, shear 0.2, zoom 0.3, horizontal flip, brightness 0.8-1.2); grayscale LBP texture histogram (26 bins); mean R, G, B colour; t-SNE for visualisation</t>
        </is>
      </c>
      <c r="M17" s="36" t="inlineStr">
        <is>
          <t>"The overall accuracy results show that model 2 shows an increase of 3% compared to model 1" (Sec. IV.A). Paraphrase: cheap LBP texture and mean-colour features added to frozen VGG16 features raise 6-class accuracy from 90% to 93%; mean image brightness falls as AQI class rises.</t>
        </is>
      </c>
      <c r="N17" s="33" t="inlineStr">
        <is>
          <t>Low</t>
        </is>
      </c>
      <c r="O17" s="33" t="inlineStr">
        <is>
          <t>Yes</t>
        </is>
      </c>
      <c r="P17" s="36" t="inlineStr">
        <is>
          <t>Classification (6 AQI classes)</t>
        </is>
      </c>
      <c r="Q17" s="33" t="inlineStr">
        <is>
          <t>Smartphone</t>
        </is>
      </c>
      <c r="R17" s="36" t="inlineStr">
        <is>
          <t>2024 IEEE 22nd Student Conference on Research and Development (SCOReD)</t>
        </is>
      </c>
      <c r="S17" s="39" t="inlineStr">
        <is>
          <t>No held-out test set (val used for early stopping and reporting); split method not described for fixed-site near-duplicates; double normalisation (/255 then preprocess_input); '15 locations' vs 8 listed; text vs Fig. 4 mismatch</t>
        </is>
      </c>
      <c r="T17" s="40" t="inlineStr">
        <is>
          <t>Open PDF</t>
        </is>
      </c>
    </row>
  </sheetData>
  <autoFilter ref="A1:T17"/>
  <conditionalFormatting sqref="N2:N200">
    <cfRule type="cellIs" priority="1" operator="equal" dxfId="0">
      <formula>"High"</formula>
    </cfRule>
    <cfRule type="cellIs" priority="2" operator="equal" dxfId="1">
      <formula>"Medium"</formula>
    </cfRule>
    <cfRule type="cellIs" priority="3" operator="equal" dxfId="2">
      <formula>"Low"</formula>
    </cfRule>
    <cfRule type="cellIs" priority="4" operator="equal" dxfId="3">
      <formula>"Review"</formula>
    </cfRule>
  </conditionalFormatting>
  <conditionalFormatting sqref="O2:O200">
    <cfRule type="cellIs" priority="5" operator="equal" dxfId="0">
      <formula>"Yes"</formula>
    </cfRule>
    <cfRule type="cellIs" priority="6" operator="equal" dxfId="1">
      <formula>"Partial"</formula>
    </cfRule>
    <cfRule type="cellIs" priority="7" operator="equal" dxfId="2">
      <formula>"No"</formula>
    </cfRule>
  </conditionalFormatting>
  <dataValidations count="3">
    <dataValidation sqref="N2:N200" showDropDown="0" showInputMessage="0" showErrorMessage="0" allowBlank="1" type="list">
      <formula1>"High,Medium,Low,Review"</formula1>
    </dataValidation>
    <dataValidation sqref="O2:O200" showDropDown="0" showInputMessage="0" showErrorMessage="0" allowBlank="1" type="list">
      <formula1>"Yes,Partial,No,n/a"</formula1>
    </dataValidation>
    <dataValidation sqref="Q2:Q200" showDropDown="0" showInputMessage="0" showErrorMessage="0" allowBlank="1" type="list">
      <formula1>"Smartphone,Fixed camera,Drone,Sky photos,Web-scraped,Review"</formula1>
    </dataValidation>
  </dataValidations>
  <hyperlinks>
    <hyperlink xmlns:r="http://schemas.openxmlformats.org/officeDocument/2006/relationships" ref="C2" r:id="rId1"/>
    <hyperlink xmlns:r="http://schemas.openxmlformats.org/officeDocument/2006/relationships" ref="T2" r:id="rId2"/>
    <hyperlink xmlns:r="http://schemas.openxmlformats.org/officeDocument/2006/relationships" ref="C3" r:id="rId3"/>
    <hyperlink xmlns:r="http://schemas.openxmlformats.org/officeDocument/2006/relationships" ref="T3" r:id="rId4"/>
    <hyperlink xmlns:r="http://schemas.openxmlformats.org/officeDocument/2006/relationships" ref="C4" r:id="rId5"/>
    <hyperlink xmlns:r="http://schemas.openxmlformats.org/officeDocument/2006/relationships" ref="T4" r:id="rId6"/>
    <hyperlink xmlns:r="http://schemas.openxmlformats.org/officeDocument/2006/relationships" ref="C5" r:id="rId7"/>
    <hyperlink xmlns:r="http://schemas.openxmlformats.org/officeDocument/2006/relationships" ref="T5" r:id="rId8"/>
    <hyperlink xmlns:r="http://schemas.openxmlformats.org/officeDocument/2006/relationships" ref="C6" r:id="rId9"/>
    <hyperlink xmlns:r="http://schemas.openxmlformats.org/officeDocument/2006/relationships" ref="T6" r:id="rId10"/>
    <hyperlink xmlns:r="http://schemas.openxmlformats.org/officeDocument/2006/relationships" ref="C7" r:id="rId11"/>
    <hyperlink xmlns:r="http://schemas.openxmlformats.org/officeDocument/2006/relationships" ref="T7" r:id="rId12"/>
    <hyperlink xmlns:r="http://schemas.openxmlformats.org/officeDocument/2006/relationships" ref="C8" r:id="rId13"/>
    <hyperlink xmlns:r="http://schemas.openxmlformats.org/officeDocument/2006/relationships" ref="T8" r:id="rId14"/>
    <hyperlink xmlns:r="http://schemas.openxmlformats.org/officeDocument/2006/relationships" ref="C9" r:id="rId15"/>
    <hyperlink xmlns:r="http://schemas.openxmlformats.org/officeDocument/2006/relationships" ref="T9" r:id="rId16"/>
    <hyperlink xmlns:r="http://schemas.openxmlformats.org/officeDocument/2006/relationships" ref="C10" r:id="rId17"/>
    <hyperlink xmlns:r="http://schemas.openxmlformats.org/officeDocument/2006/relationships" ref="T10" r:id="rId18"/>
    <hyperlink xmlns:r="http://schemas.openxmlformats.org/officeDocument/2006/relationships" ref="C11" r:id="rId19"/>
    <hyperlink xmlns:r="http://schemas.openxmlformats.org/officeDocument/2006/relationships" ref="T11" r:id="rId20"/>
    <hyperlink xmlns:r="http://schemas.openxmlformats.org/officeDocument/2006/relationships" ref="C12" r:id="rId21"/>
    <hyperlink xmlns:r="http://schemas.openxmlformats.org/officeDocument/2006/relationships" ref="T12" r:id="rId22"/>
    <hyperlink xmlns:r="http://schemas.openxmlformats.org/officeDocument/2006/relationships" ref="C13" r:id="rId23"/>
    <hyperlink xmlns:r="http://schemas.openxmlformats.org/officeDocument/2006/relationships" ref="T13" r:id="rId24"/>
    <hyperlink xmlns:r="http://schemas.openxmlformats.org/officeDocument/2006/relationships" ref="C14" r:id="rId25"/>
    <hyperlink xmlns:r="http://schemas.openxmlformats.org/officeDocument/2006/relationships" ref="T14" r:id="rId26"/>
    <hyperlink xmlns:r="http://schemas.openxmlformats.org/officeDocument/2006/relationships" ref="C15" r:id="rId27"/>
    <hyperlink xmlns:r="http://schemas.openxmlformats.org/officeDocument/2006/relationships" ref="T15" r:id="rId28"/>
    <hyperlink xmlns:r="http://schemas.openxmlformats.org/officeDocument/2006/relationships" ref="C16" r:id="rId29"/>
    <hyperlink xmlns:r="http://schemas.openxmlformats.org/officeDocument/2006/relationships" ref="T16" r:id="rId30"/>
    <hyperlink xmlns:r="http://schemas.openxmlformats.org/officeDocument/2006/relationships" ref="C17" r:id="rId31"/>
    <hyperlink xmlns:r="http://schemas.openxmlformats.org/officeDocument/2006/relationships" ref="T17" r:id="rId32"/>
  </hyperlinks>
  <printOptions gridLines="0"/>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548235"/>
    <outlinePr summaryBelow="1" summaryRight="1"/>
    <pageSetUpPr/>
  </sheetPr>
  <dimension ref="A1:J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26" customWidth="1" min="3" max="3"/>
    <col width="16" customWidth="1" min="4" max="4"/>
    <col width="24" customWidth="1" min="5" max="5"/>
    <col width="34" customWidth="1" min="6" max="6"/>
    <col width="11" customWidth="1" min="7" max="7"/>
    <col width="14" customWidth="1" min="8" max="8"/>
    <col width="16" customWidth="1" min="9" max="9"/>
    <col width="12" customWidth="1" min="10" max="10"/>
  </cols>
  <sheetData>
    <row r="1" ht="32" customHeight="1">
      <c r="A1" s="41" t="inlineStr">
        <is>
          <t>Dataset</t>
        </is>
      </c>
      <c r="B1" s="41" t="inlineStr">
        <is>
          <t>Images</t>
        </is>
      </c>
      <c r="C1" s="41" t="inlineStr">
        <is>
          <t>Location</t>
        </is>
      </c>
      <c r="D1" s="41" t="inlineStr">
        <is>
          <t>Period</t>
        </is>
      </c>
      <c r="E1" s="41" t="inlineStr">
        <is>
          <t>Capture Device</t>
        </is>
      </c>
      <c r="F1" s="41" t="inlineStr">
        <is>
          <t>Labels</t>
        </is>
      </c>
      <c r="G1" s="41" t="inlineStr">
        <is>
          <t>Public?</t>
        </is>
      </c>
      <c r="H1" s="41" t="inlineStr">
        <is>
          <t>Link</t>
        </is>
      </c>
      <c r="I1" s="41" t="inlineStr">
        <is>
          <t>Match Key</t>
        </is>
      </c>
      <c r="J1" s="41" t="inlineStr">
        <is>
          <t># IEEE Papers Using</t>
        </is>
      </c>
    </row>
    <row r="2" ht="38" customHeight="1">
      <c r="A2" s="42" t="inlineStr">
        <is>
          <t>Air Pollution Image Dataset from India and Nepal (Kaggle)</t>
        </is>
      </c>
      <c r="B2" s="28" t="inlineStr">
        <is>
          <t>12,240</t>
        </is>
      </c>
      <c r="C2" s="28" t="inlineStr">
        <is>
          <t>7 sites in India + 1 in Nepal</t>
        </is>
      </c>
      <c r="D2" s="28" t="inlineStr">
        <is>
          <t>Feb-Mar 2023</t>
        </is>
      </c>
      <c r="E2" s="28" t="inlineStr">
        <is>
          <t>Smartphone (ground level, daylight)</t>
        </is>
      </c>
      <c r="F2" s="28" t="inlineStr">
        <is>
          <t>CPCB station values (PM2.5, PM10, O3, CO, SO2, NO2) + 6 AQI classes</t>
        </is>
      </c>
      <c r="G2" s="25" t="inlineStr">
        <is>
          <t>Yes</t>
        </is>
      </c>
      <c r="H2" s="32" t="inlineStr">
        <is>
          <t>Open</t>
        </is>
      </c>
      <c r="I2" s="43" t="inlineStr">
        <is>
          <t>india-and-nepal</t>
        </is>
      </c>
      <c r="J2" s="44">
        <f>COUNTIF(Papers!$E$2:$E$200,"*"&amp;I2&amp;"*")</f>
        <v>5</v>
      </c>
    </row>
    <row r="3" ht="38" customHeight="1">
      <c r="A3" s="45" t="inlineStr">
        <is>
          <t>NPS-AQI (National Parks AQI)</t>
        </is>
      </c>
      <c r="B3" s="36" t="inlineStr">
        <is>
          <t>~146,800</t>
        </is>
      </c>
      <c r="C3" s="36" t="inlineStr">
        <is>
          <t>17 sites in 15 US national parks</t>
        </is>
      </c>
      <c r="D3" s="36" t="inlineStr">
        <is>
          <t>2016-2023</t>
        </is>
      </c>
      <c r="E3" s="36" t="inlineStr">
        <is>
          <t>Fixed park webcams, every 15 min</t>
        </is>
      </c>
      <c r="F3" s="36" t="inlineStr">
        <is>
          <t>AQI from NPS ozone monitors (SO2 at Hawai'i Volcanoes)</t>
        </is>
      </c>
      <c r="G3" s="33" t="inlineStr">
        <is>
          <t>Yes</t>
        </is>
      </c>
      <c r="H3" s="40" t="inlineStr">
        <is>
          <t>Open</t>
        </is>
      </c>
      <c r="I3" s="46" t="inlineStr">
        <is>
          <t>NPS-AQI</t>
        </is>
      </c>
      <c r="J3" s="47">
        <f>COUNTIF(Papers!$E$2:$E$200,"*"&amp;I3&amp;"*")</f>
        <v>1</v>
      </c>
    </row>
    <row r="4" ht="38" customHeight="1">
      <c r="A4" s="42" t="inlineStr">
        <is>
          <t>VISIONAIR (Delhi: DTU, ITO, Shadipur)</t>
        </is>
      </c>
      <c r="B4" s="28" t="inlineStr">
        <is>
          <t>~1,180 (DTU 369-440, ITO 499, Shadipur 244)</t>
        </is>
      </c>
      <c r="C4" s="28" t="inlineStr">
        <is>
          <t>New Delhi, India</t>
        </is>
      </c>
      <c r="D4" s="28" t="inlineStr">
        <is>
          <t>not reported</t>
        </is>
      </c>
      <c r="E4" s="28" t="inlineStr">
        <is>
          <t>Webcam / smartphone</t>
        </is>
      </c>
      <c r="F4" s="28" t="inlineStr">
        <is>
          <t>PM2.5 from pollution control board stations</t>
        </is>
      </c>
      <c r="G4" s="25" t="inlineStr">
        <is>
          <t>Yes</t>
        </is>
      </c>
      <c r="H4" s="32" t="inlineStr">
        <is>
          <t>Open</t>
        </is>
      </c>
      <c r="I4" s="43" t="inlineStr">
        <is>
          <t>VISIONAIR</t>
        </is>
      </c>
      <c r="J4" s="44">
        <f>COUNTIF(Papers!$E$2:$E$200,"*"&amp;I4&amp;"*")</f>
        <v>2</v>
      </c>
    </row>
    <row r="5" ht="38" customHeight="1">
      <c r="A5" s="45" t="inlineStr">
        <is>
          <t>Hong Kong traffic snapshots + EPD stations</t>
        </is>
      </c>
      <c r="B5" s="36" t="inlineStr">
        <is>
          <t>10 cameras (thousands of frames)</t>
        </is>
      </c>
      <c r="C5" s="36" t="inlineStr">
        <is>
          <t>Hong Kong</t>
        </is>
      </c>
      <c r="D5" s="36" t="inlineStr">
        <is>
          <t>Jun 2021-Jan 2022 (as used)</t>
        </is>
      </c>
      <c r="E5" s="36" t="inlineStr">
        <is>
          <t>Fixed traffic cameras</t>
        </is>
      </c>
      <c r="F5" s="36" t="inlineStr">
        <is>
          <t>Hourly EPD PM2.5, PM10, NO2, O3</t>
        </is>
      </c>
      <c r="G5" s="33" t="inlineStr">
        <is>
          <t>Yes</t>
        </is>
      </c>
      <c r="H5" s="40" t="inlineStr">
        <is>
          <t>Open</t>
        </is>
      </c>
      <c r="I5" s="46" t="inlineStr">
        <is>
          <t>data.gov.hk</t>
        </is>
      </c>
      <c r="J5" s="47">
        <f>COUNTIF(Papers!$E$2:$E$200,"*"&amp;I5&amp;"*")</f>
        <v>1</v>
      </c>
    </row>
    <row r="6" ht="38" customHeight="1">
      <c r="A6" s="42" t="inlineStr">
        <is>
          <t>PM25Vision (not used by these IEEE papers)</t>
        </is>
      </c>
      <c r="B6" s="28" t="inlineStr">
        <is>
          <t>11,114</t>
        </is>
      </c>
      <c r="C6" s="28" t="inlineStr">
        <is>
          <t>3,261 WAQI stations worldwide</t>
        </is>
      </c>
      <c r="D6" s="28" t="inlineStr">
        <is>
          <t>2014-2025</t>
        </is>
      </c>
      <c r="E6" s="28" t="inlineStr">
        <is>
          <t>Street-level photos (Mapillary)</t>
        </is>
      </c>
      <c r="F6" s="28" t="inlineStr">
        <is>
          <t>WAQI PM2.5 AQI</t>
        </is>
      </c>
      <c r="G6" s="25" t="inlineStr">
        <is>
          <t>Yes</t>
        </is>
      </c>
      <c r="H6" s="32" t="inlineStr">
        <is>
          <t>Open</t>
        </is>
      </c>
      <c r="I6" s="43" t="inlineStr">
        <is>
          <t>PM25Vision</t>
        </is>
      </c>
      <c r="J6" s="44">
        <f>COUNTIF(Papers!$E$2:$E$200,"*"&amp;I6&amp;"*")</f>
        <v>0</v>
      </c>
    </row>
    <row r="7" ht="38" customHeight="1">
      <c r="A7" s="45" t="inlineStr">
        <is>
          <t>Volcanic Plume SO2 (Svinth et al.)</t>
        </is>
      </c>
      <c r="B7" s="36" t="inlineStr">
        <is>
          <t>2,102</t>
        </is>
      </c>
      <c r="C7" s="36" t="inlineStr">
        <is>
          <t>16 volcanoes (mostly Eyjafjallajökull, Etna)</t>
        </is>
      </c>
      <c r="D7" s="36" t="inlineStr">
        <is>
          <t>not reported</t>
        </is>
      </c>
      <c r="E7" s="36" t="inlineStr">
        <is>
          <t>Flickr ground/aerial photos</t>
        </is>
      </c>
      <c r="F7" s="36" t="inlineStr">
        <is>
          <t>Satellite SO2 mass, 3 classes</t>
        </is>
      </c>
      <c r="G7" s="33" t="inlineStr">
        <is>
          <t>Not stated</t>
        </is>
      </c>
      <c r="H7" s="33" t="inlineStr">
        <is>
          <t>-</t>
        </is>
      </c>
      <c r="I7" s="46" t="inlineStr">
        <is>
          <t>Volcanic</t>
        </is>
      </c>
      <c r="J7" s="47">
        <f>COUNTIF(Papers!$E$2:$E$200,"*"&amp;I7&amp;"*")</f>
        <v>1</v>
      </c>
    </row>
    <row r="8" ht="38" customHeight="1">
      <c r="A8" s="42" t="inlineStr">
        <is>
          <t>Shanghai image set (Liu et al. 2016, PLoS ONE)</t>
        </is>
      </c>
      <c r="B8" s="28" t="inlineStr">
        <is>
          <t>1,882</t>
        </is>
      </c>
      <c r="C8" s="28" t="inlineStr">
        <is>
          <t>Shanghai, China</t>
        </is>
      </c>
      <c r="D8" s="28" t="inlineStr">
        <is>
          <t>not reported</t>
        </is>
      </c>
      <c r="E8" s="28" t="inlineStr">
        <is>
          <t>Fixed camera</t>
        </is>
      </c>
      <c r="F8" s="28" t="inlineStr">
        <is>
          <t>PM2.5</t>
        </is>
      </c>
      <c r="G8" s="25" t="inlineStr">
        <is>
          <t>Not verified</t>
        </is>
      </c>
      <c r="H8" s="25" t="inlineStr">
        <is>
          <t>-</t>
        </is>
      </c>
      <c r="I8" s="43" t="inlineStr">
        <is>
          <t>Shanghai</t>
        </is>
      </c>
      <c r="J8" s="44">
        <f>COUNTIF(Papers!$E$2:$E$200,"*"&amp;I8&amp;"*")</f>
        <v>1</v>
      </c>
    </row>
    <row r="9" ht="38" customHeight="1">
      <c r="A9" s="45" t="inlineStr">
        <is>
          <t>ISI Kolkata CCTV set</t>
        </is>
      </c>
      <c r="B9" s="36" t="inlineStr">
        <is>
          <t>~4,500</t>
        </is>
      </c>
      <c r="C9" s="36" t="inlineStr">
        <is>
          <t>Kolkata, India (6 views)</t>
        </is>
      </c>
      <c r="D9" s="36" t="inlineStr">
        <is>
          <t>Jun 2021-Jan 2023</t>
        </is>
      </c>
      <c r="E9" s="36" t="inlineStr">
        <is>
          <t>Fixed PTZ CCTV camera</t>
        </is>
      </c>
      <c r="F9" s="36" t="inlineStr">
        <is>
          <t>Quarter-hourly CPCB PM2.5</t>
        </is>
      </c>
      <c r="G9" s="33" t="inlineStr">
        <is>
          <t>No</t>
        </is>
      </c>
      <c r="H9" s="33" t="inlineStr">
        <is>
          <t>-</t>
        </is>
      </c>
      <c r="I9" s="46" t="inlineStr">
        <is>
          <t>ISI Kolkata</t>
        </is>
      </c>
      <c r="J9" s="47">
        <f>COUNTIF(Papers!$E$2:$E$200,"*"&amp;I9&amp;"*")</f>
        <v>1</v>
      </c>
    </row>
    <row r="10" ht="38" customHeight="1">
      <c r="A10" s="42" t="inlineStr">
        <is>
          <t>CMU Chiang Mai phone set</t>
        </is>
      </c>
      <c r="B10" s="28" t="inlineStr">
        <is>
          <t>442 HDR + 442 non-HDR</t>
        </is>
      </c>
      <c r="C10" s="28" t="inlineStr">
        <is>
          <t>Chiang Mai, Thailand (1 view)</t>
        </is>
      </c>
      <c r="D10" s="28" t="inlineStr">
        <is>
          <t>Dec 2021-Jun 2022</t>
        </is>
      </c>
      <c r="E10" s="28" t="inlineStr">
        <is>
          <t>Smartphone</t>
        </is>
      </c>
      <c r="F10" s="28" t="inlineStr">
        <is>
          <t>Portable Xiaomi PM2.5 sensor</t>
        </is>
      </c>
      <c r="G10" s="25" t="inlineStr">
        <is>
          <t>No</t>
        </is>
      </c>
      <c r="H10" s="25" t="inlineStr">
        <is>
          <t>-</t>
        </is>
      </c>
      <c r="I10" s="43" t="inlineStr">
        <is>
          <t>CMU dataset</t>
        </is>
      </c>
      <c r="J10" s="44">
        <f>COUNTIF(Papers!$E$2:$E$200,"*"&amp;I10&amp;"*")</f>
        <v>1</v>
      </c>
    </row>
    <row r="11" ht="38" customHeight="1">
      <c r="A11" s="45" t="inlineStr">
        <is>
          <t>Yunlin UAV multispectral set</t>
        </is>
      </c>
      <c r="B11" s="36" t="inlineStr">
        <is>
          <t>23,100</t>
        </is>
      </c>
      <c r="C11" s="36" t="inlineStr">
        <is>
          <t>Yunlin, Taiwan</t>
        </is>
      </c>
      <c r="D11" s="36" t="inlineStr">
        <is>
          <t>Dec 2021-Nov 2024</t>
        </is>
      </c>
      <c r="E11" s="36" t="inlineStr">
        <is>
          <t>DJI Phantom 4 Multispectral drone</t>
        </is>
      </c>
      <c r="F11" s="36" t="inlineStr">
        <is>
          <t>Station PM2.5, 3 levels</t>
        </is>
      </c>
      <c r="G11" s="33" t="inlineStr">
        <is>
          <t>On request</t>
        </is>
      </c>
      <c r="H11" s="33" t="inlineStr">
        <is>
          <t>-</t>
        </is>
      </c>
      <c r="I11" s="46" t="inlineStr">
        <is>
          <t>UAV dataset</t>
        </is>
      </c>
      <c r="J11" s="47">
        <f>COUNTIF(Papers!$E$2:$E$200,"*"&amp;I11&amp;"*")</f>
        <v>1</v>
      </c>
    </row>
    <row r="12" ht="38" customHeight="1">
      <c r="A12" s="42" t="inlineStr">
        <is>
          <t>IAQID (Image Air Quality Index Database)</t>
        </is>
      </c>
      <c r="B12" s="28" t="inlineStr">
        <is>
          <t>1,095</t>
        </is>
      </c>
      <c r="C12" s="28" t="inlineStr">
        <is>
          <t>Gurugram, India (3 sites)</t>
        </is>
      </c>
      <c r="D12" s="28" t="inlineStr">
        <is>
          <t>Jan-Dec 2024</t>
        </is>
      </c>
      <c r="E12" s="28" t="inlineStr">
        <is>
          <t>Smartphone (roadside trees)</t>
        </is>
      </c>
      <c r="F12" s="28" t="inlineStr">
        <is>
          <t>CPCB AQI, 3 classes</t>
        </is>
      </c>
      <c r="G12" s="25" t="inlineStr">
        <is>
          <t>No</t>
        </is>
      </c>
      <c r="H12" s="25" t="inlineStr">
        <is>
          <t>-</t>
        </is>
      </c>
      <c r="I12" s="43" t="inlineStr">
        <is>
          <t>IAQID</t>
        </is>
      </c>
      <c r="J12" s="44">
        <f>COUNTIF(Papers!$E$2:$E$200,"*"&amp;I12&amp;"*")</f>
        <v>1</v>
      </c>
    </row>
    <row r="13" ht="38" customHeight="1">
      <c r="A13" s="45" t="inlineStr">
        <is>
          <t>Station-camera set (unnamed city)</t>
        </is>
      </c>
      <c r="B13" s="36" t="inlineStr">
        <is>
          <t>2,622</t>
        </is>
      </c>
      <c r="C13" s="36" t="inlineStr">
        <is>
          <t>China (1 station)</t>
        </is>
      </c>
      <c r="D13" s="36" t="inlineStr">
        <is>
          <t>Jul 2018-Feb 2023</t>
        </is>
      </c>
      <c r="E13" s="36" t="inlineStr">
        <is>
          <t>Fixed station camera</t>
        </is>
      </c>
      <c r="F13" s="36" t="inlineStr">
        <is>
          <t>Station AQI class, 6 classes</t>
        </is>
      </c>
      <c r="G13" s="33" t="inlineStr">
        <is>
          <t>No</t>
        </is>
      </c>
      <c r="H13" s="33" t="inlineStr">
        <is>
          <t>-</t>
        </is>
      </c>
      <c r="I13" s="46" t="inlineStr">
        <is>
          <t>city monitoring station</t>
        </is>
      </c>
      <c r="J13" s="47">
        <f>COUNTIF(Papers!$E$2:$E$200,"*"&amp;I13&amp;"*")</f>
        <v>1</v>
      </c>
    </row>
    <row r="14" ht="38" customHeight="1">
      <c r="A14" s="42" t="inlineStr">
        <is>
          <t>Curated sky-image set</t>
        </is>
      </c>
      <c r="B14" s="28" t="inlineStr">
        <is>
          <t>~5,000</t>
        </is>
      </c>
      <c r="C14" s="28" t="inlineStr">
        <is>
          <t>&gt;10 unnamed urban regions</t>
        </is>
      </c>
      <c r="D14" s="28" t="inlineStr">
        <is>
          <t>not reported</t>
        </is>
      </c>
      <c r="E14" s="28" t="inlineStr">
        <is>
          <t>Sky photos</t>
        </is>
      </c>
      <c r="F14" s="28" t="inlineStr">
        <is>
          <t>Agency PM2.5/PM10/O3/CO/NO2, 5 AQI classes</t>
        </is>
      </c>
      <c r="G14" s="25" t="inlineStr">
        <is>
          <t>No</t>
        </is>
      </c>
      <c r="H14" s="25" t="inlineStr">
        <is>
          <t>-</t>
        </is>
      </c>
      <c r="I14" s="43" t="inlineStr">
        <is>
          <t>curated sky-image</t>
        </is>
      </c>
      <c r="J14" s="44">
        <f>COUNTIF(Papers!$E$2:$E$200,"*"&amp;I14&amp;"*")</f>
        <v>1</v>
      </c>
    </row>
    <row r="15" ht="38" customHeight="1">
      <c r="A15" s="45" t="inlineStr">
        <is>
          <t>Beijing web-scraped set</t>
        </is>
      </c>
      <c r="B15" s="36" t="inlineStr">
        <is>
          <t>591 or 900 (inconsistent)</t>
        </is>
      </c>
      <c r="C15" s="36" t="inlineStr">
        <is>
          <t>Beijing, China</t>
        </is>
      </c>
      <c r="D15" s="36" t="inlineStr">
        <is>
          <t>2013-2023</t>
        </is>
      </c>
      <c r="E15" s="36" t="inlineStr">
        <is>
          <t>Web-scraped tourist photos</t>
        </is>
      </c>
      <c r="F15" s="36" t="inlineStr">
        <is>
          <t>US Embassy PM2.5, 3 classes</t>
        </is>
      </c>
      <c r="G15" s="33" t="inlineStr">
        <is>
          <t>No</t>
        </is>
      </c>
      <c r="H15" s="33" t="inlineStr">
        <is>
          <t>-</t>
        </is>
      </c>
      <c r="I15" s="46" t="inlineStr">
        <is>
          <t>tour-beijing</t>
        </is>
      </c>
      <c r="J15" s="47">
        <f>COUNTIF(Papers!$E$2:$E$200,"*"&amp;I15&amp;"*")</f>
        <v>1</v>
      </c>
    </row>
    <row r="17">
      <c r="A17" s="48" t="inlineStr">
        <is>
          <t>Counts in column J are live formulas over the Papers sheet. PM25Vision is included for reference (your candidate dataset); no IEEE paper in this list uses it yet.</t>
        </is>
      </c>
    </row>
  </sheetData>
  <autoFilter ref="A1:J15"/>
  <conditionalFormatting sqref="G2:G15">
    <cfRule type="cellIs" priority="1" operator="equal" dxfId="0">
      <formula>"Yes"</formula>
    </cfRule>
    <cfRule type="cellIs" priority="2" operator="equal" dxfId="2">
      <formula>"No"</formula>
    </cfRule>
  </conditionalFormatting>
  <conditionalFormatting sqref="J2:J15">
    <cfRule type="dataBar" priority="3">
      <dataBar>
        <cfvo type="num" val="0"/>
        <cfvo type="max"/>
        <color rgb="0070AD47"/>
      </dataBar>
    </cfRule>
  </conditionalFormatting>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2026-10-15T10:58:00Z</dcterms:created>
  <dcterms:modified xsi:type="dcterms:W3CDTF">2026-10-15T10:58:00Z</dcterms:modified>
</cp:coreProperties>
</file>